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pivotTables/pivotTable1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6.xml" ContentType="application/vnd.openxmlformats-officedocument.drawing+xml"/>
  <Override PartName="/xl/slicers/slicer2.xml" ContentType="application/vnd.ms-excel.slicer+xml"/>
  <Override PartName="/xl/timelines/timeline1.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hidePivotFieldList="1" defaultThemeVersion="166925"/>
  <mc:AlternateContent xmlns:mc="http://schemas.openxmlformats.org/markup-compatibility/2006">
    <mc:Choice Requires="x15">
      <x15ac:absPath xmlns:x15ac="http://schemas.microsoft.com/office/spreadsheetml/2010/11/ac" url="https://d.docs.live.net/6e6a16435ee2043c/Desktop/Excel Dashboards/Credit_Card_Transaction_Fraud_Analysis_Dashboard/dashboard/"/>
    </mc:Choice>
  </mc:AlternateContent>
  <xr:revisionPtr revIDLastSave="12" documentId="8_{994980FE-7970-46EF-9E77-B4385CC7AE4C}" xr6:coauthVersionLast="47" xr6:coauthVersionMax="47" xr10:uidLastSave="{0738BCAD-D8B5-43C9-8B84-26CC36D4BCB7}"/>
  <bookViews>
    <workbookView xWindow="-108" yWindow="-108" windowWidth="23256" windowHeight="13176" tabRatio="765" firstSheet="3" activeTab="4" xr2:uid="{FA80777F-7BC4-494F-8AA8-713FBEA063CC}"/>
  </bookViews>
  <sheets>
    <sheet name="1.Transaction Category and Type" sheetId="5" r:id="rId1"/>
    <sheet name="2. Fraud Risk in %" sheetId="6" r:id="rId2"/>
    <sheet name="3. State Wise Total Transaction" sheetId="7" r:id="rId3"/>
    <sheet name="4. Fraudlent Transaction Months" sheetId="8" r:id="rId4"/>
    <sheet name="KPIs" sheetId="11" r:id="rId5"/>
    <sheet name="MOM KPIs" sheetId="13" r:id="rId6"/>
    <sheet name="Data" sheetId="2" r:id="rId7"/>
    <sheet name="Dashboard" sheetId="1" r:id="rId8"/>
    <sheet name="Key Insights" sheetId="14" r:id="rId9"/>
    <sheet name="Business Recommendation" sheetId="15" r:id="rId10"/>
  </sheets>
  <definedNames>
    <definedName name="DATA">Data!$1:$1048576</definedName>
    <definedName name="ExternalData_1" localSheetId="6" hidden="1">Data!$A$1:$N$1001</definedName>
    <definedName name="NativeTimeline_Transaction_Date">#N/A</definedName>
    <definedName name="Slicer_Card_Type">#N/A</definedName>
    <definedName name="Slicer_Fraud_Type">#N/A</definedName>
    <definedName name="Slicer_State">#N/A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0" i="11" l="1"/>
  <c r="T9" i="11"/>
  <c r="E19" i="13"/>
  <c r="E19" i="11"/>
  <c r="B19" i="11"/>
  <c r="D19" i="13"/>
  <c r="O18" i="11"/>
  <c r="F19" i="13"/>
  <c r="J18" i="11"/>
  <c r="C19" i="13"/>
  <c r="K18" i="11"/>
  <c r="K19" i="11" l="1"/>
  <c r="T13"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4B546E-AD80-4536-B26F-DB5DF6EB002F}" keepAlive="1" name="Query - Credit Card Fraud Risk Analysis" description="Connection to the 'Credit Card Fraud Risk Analysis' query in the workbook." type="5" refreshedVersion="8" background="1" saveData="1">
    <dbPr connection="Provider=Microsoft.Mashup.OleDb.1;Data Source=$Workbook$;Location=&quot;Credit Card Fraud Risk Analysis&quot;;Extended Properties=&quot;&quot;" command="SELECT * FROM [Credit Card Fraud Risk Analysis]"/>
  </connection>
</connections>
</file>

<file path=xl/sharedStrings.xml><?xml version="1.0" encoding="utf-8"?>
<sst xmlns="http://schemas.openxmlformats.org/spreadsheetml/2006/main" count="9151" uniqueCount="1091">
  <si>
    <t>Transaction ID</t>
  </si>
  <si>
    <t>Customer Name</t>
  </si>
  <si>
    <t>Merchant Name</t>
  </si>
  <si>
    <t>Transaction Date</t>
  </si>
  <si>
    <t>Transaction Amount (INR)</t>
  </si>
  <si>
    <t>Fraud Risk</t>
  </si>
  <si>
    <t>Fraud Type</t>
  </si>
  <si>
    <t>State</t>
  </si>
  <si>
    <t>Card Type</t>
  </si>
  <si>
    <t>Bank</t>
  </si>
  <si>
    <t>IsFraud</t>
  </si>
  <si>
    <t>Fraud Score</t>
  </si>
  <si>
    <t>Transaction Category</t>
  </si>
  <si>
    <t>Merchant Location</t>
  </si>
  <si>
    <t>Pihu Manne</t>
  </si>
  <si>
    <t>Uber</t>
  </si>
  <si>
    <t>Medium</t>
  </si>
  <si>
    <t>Card Not Present</t>
  </si>
  <si>
    <t>Telangana</t>
  </si>
  <si>
    <t>Rupay</t>
  </si>
  <si>
    <t>ICICI Bank</t>
  </si>
  <si>
    <t>Transportation</t>
  </si>
  <si>
    <t>Bangalore</t>
  </si>
  <si>
    <t>Hiran Vaidya</t>
  </si>
  <si>
    <t>Zomato</t>
  </si>
  <si>
    <t>Phishing</t>
  </si>
  <si>
    <t>Maharashtra</t>
  </si>
  <si>
    <t>Amex</t>
  </si>
  <si>
    <t>SBI</t>
  </si>
  <si>
    <t>Groceries</t>
  </si>
  <si>
    <t>Shalv Vasa</t>
  </si>
  <si>
    <t>Myntra</t>
  </si>
  <si>
    <t>Card Skimming</t>
  </si>
  <si>
    <t>Uttar Pradesh</t>
  </si>
  <si>
    <t>Visa</t>
  </si>
  <si>
    <t>HDFC Bank</t>
  </si>
  <si>
    <t>Ahmedabad</t>
  </si>
  <si>
    <t>Taran Shanker</t>
  </si>
  <si>
    <t>Lifestyle</t>
  </si>
  <si>
    <t>Low</t>
  </si>
  <si>
    <t>Kerala</t>
  </si>
  <si>
    <t>Federal Bank</t>
  </si>
  <si>
    <t>E-commerce</t>
  </si>
  <si>
    <t>Lucknow</t>
  </si>
  <si>
    <t>Shanaya Kara</t>
  </si>
  <si>
    <t>Tata Cliq</t>
  </si>
  <si>
    <t>Delhi</t>
  </si>
  <si>
    <t>Electronics</t>
  </si>
  <si>
    <t>Hyderabad</t>
  </si>
  <si>
    <t>Eshani Batta</t>
  </si>
  <si>
    <t>Critical</t>
  </si>
  <si>
    <t>West Bengal</t>
  </si>
  <si>
    <t>Andhra Bank</t>
  </si>
  <si>
    <t>Advik Jayaraman</t>
  </si>
  <si>
    <t>Flipkart</t>
  </si>
  <si>
    <t>Account Takeover</t>
  </si>
  <si>
    <t>Tamil Nadu</t>
  </si>
  <si>
    <t>Bank of Baroda</t>
  </si>
  <si>
    <t>Apparel</t>
  </si>
  <si>
    <t>Mumbai</t>
  </si>
  <si>
    <t>Drishya Bhandari</t>
  </si>
  <si>
    <t>High</t>
  </si>
  <si>
    <t>Karnataka</t>
  </si>
  <si>
    <t>Jaipur</t>
  </si>
  <si>
    <t>Mannat Kothari</t>
  </si>
  <si>
    <t>Food Delivery</t>
  </si>
  <si>
    <t>Aradhya Khosla</t>
  </si>
  <si>
    <t>Lakshay Ravi</t>
  </si>
  <si>
    <t>Yes Bank</t>
  </si>
  <si>
    <t>Tushar Kara</t>
  </si>
  <si>
    <t>Amazon India</t>
  </si>
  <si>
    <t>Identity Theft</t>
  </si>
  <si>
    <t>Mastercard</t>
  </si>
  <si>
    <t>Kolkata</t>
  </si>
  <si>
    <t>Shamik Sharaf</t>
  </si>
  <si>
    <t>Big Bazaar</t>
  </si>
  <si>
    <t>Shray Dutt</t>
  </si>
  <si>
    <t>Reliance Digital</t>
  </si>
  <si>
    <t>Prisha Mannan</t>
  </si>
  <si>
    <t>Kotak Bank</t>
  </si>
  <si>
    <t>Zeeshan Lalla</t>
  </si>
  <si>
    <t>Gujarat</t>
  </si>
  <si>
    <t>Tarini Bedi</t>
  </si>
  <si>
    <t>Nehmat Upadhyay</t>
  </si>
  <si>
    <t>Rohan Sood</t>
  </si>
  <si>
    <t>Axis Bank</t>
  </si>
  <si>
    <t>Jivika Singhal</t>
  </si>
  <si>
    <t>Chennai</t>
  </si>
  <si>
    <t>Adah Chaudhry</t>
  </si>
  <si>
    <t>Kochi</t>
  </si>
  <si>
    <t>Saksham Rastogi</t>
  </si>
  <si>
    <t>Veer Sridhar</t>
  </si>
  <si>
    <t>Kanav Chaudhary</t>
  </si>
  <si>
    <t>Rasha Reddy</t>
  </si>
  <si>
    <t>Tiya Bir</t>
  </si>
  <si>
    <t>Urvi Ghose</t>
  </si>
  <si>
    <t>Yuvaan Sidhu</t>
  </si>
  <si>
    <t>Ojas Shah</t>
  </si>
  <si>
    <t>Tara Johal</t>
  </si>
  <si>
    <t>Diya Bajaj</t>
  </si>
  <si>
    <t>Faiyaz Cheema</t>
  </si>
  <si>
    <t>Swiggy</t>
  </si>
  <si>
    <t>Aradhya Dhillon</t>
  </si>
  <si>
    <t>Rajasthan</t>
  </si>
  <si>
    <t>Biju Sood</t>
  </si>
  <si>
    <t>Alia Dugar</t>
  </si>
  <si>
    <t>Oorja Borah</t>
  </si>
  <si>
    <t>Kanav Choudhary</t>
  </si>
  <si>
    <t>Zaina Hegde</t>
  </si>
  <si>
    <t>Yakshit Handa</t>
  </si>
  <si>
    <t>Nehmat Sangha</t>
  </si>
  <si>
    <t>Samarth Wason</t>
  </si>
  <si>
    <t>Umang Soman</t>
  </si>
  <si>
    <t>Kartik Bose</t>
  </si>
  <si>
    <t>Prerak Zacharia</t>
  </si>
  <si>
    <t>Hiran Upadhyay</t>
  </si>
  <si>
    <t>Mamooty Vyas</t>
  </si>
  <si>
    <t>Samar Tandon</t>
  </si>
  <si>
    <t>Pari Behl</t>
  </si>
  <si>
    <t>Yakshit Saran</t>
  </si>
  <si>
    <t>Drishya Ganesan</t>
  </si>
  <si>
    <t>Misha Kashyap</t>
  </si>
  <si>
    <t>Ranbir Shankar</t>
  </si>
  <si>
    <t>Onkar Deol</t>
  </si>
  <si>
    <t>Nakul Upadhyay</t>
  </si>
  <si>
    <t>Tanya Shanker</t>
  </si>
  <si>
    <t>Priyansh Sangha</t>
  </si>
  <si>
    <t>Aniruddh Sem</t>
  </si>
  <si>
    <t>Oorja Dhillon</t>
  </si>
  <si>
    <t>Myra Baral</t>
  </si>
  <si>
    <t>Raghav Goswami</t>
  </si>
  <si>
    <t>Jivin Shah</t>
  </si>
  <si>
    <t>Indranil Dar</t>
  </si>
  <si>
    <t>Siya Mand</t>
  </si>
  <si>
    <t>Hridaan Lanka</t>
  </si>
  <si>
    <t>Devansh Dutta</t>
  </si>
  <si>
    <t>Prisha Sani</t>
  </si>
  <si>
    <t>Anika Kaur</t>
  </si>
  <si>
    <t>Hrishita Mangal</t>
  </si>
  <si>
    <t>Urvi Gole</t>
  </si>
  <si>
    <t>Neysa Bir</t>
  </si>
  <si>
    <t>Aaina Kanda</t>
  </si>
  <si>
    <t>Mannat Krishnamurthy</t>
  </si>
  <si>
    <t>Jivin Tripathi</t>
  </si>
  <si>
    <t>Samaira Sahni</t>
  </si>
  <si>
    <t>Kimaya Buch</t>
  </si>
  <si>
    <t>Samaira Goswami</t>
  </si>
  <si>
    <t>Samaira Bansal</t>
  </si>
  <si>
    <t>Riya Rajagopalan</t>
  </si>
  <si>
    <t>Alia Sani</t>
  </si>
  <si>
    <t>Divij Chatterjee</t>
  </si>
  <si>
    <t>Kartik Khatri</t>
  </si>
  <si>
    <t>Mohanlal Vyas</t>
  </si>
  <si>
    <t>Pari Bath</t>
  </si>
  <si>
    <t>Ranbir Buch</t>
  </si>
  <si>
    <t>Aniruddh Choudhury</t>
  </si>
  <si>
    <t>Divij Venkatesh</t>
  </si>
  <si>
    <t>Priyansh Sandal</t>
  </si>
  <si>
    <t>Amani Tak</t>
  </si>
  <si>
    <t>Dishani Acharya</t>
  </si>
  <si>
    <t>Vivaan Agrawal</t>
  </si>
  <si>
    <t>Anvi Srinivasan</t>
  </si>
  <si>
    <t>Biju Chopra</t>
  </si>
  <si>
    <t>Saira Ganguly</t>
  </si>
  <si>
    <t>Navya Randhawa</t>
  </si>
  <si>
    <t>Ritvik Jha</t>
  </si>
  <si>
    <t>Rohan Devi</t>
  </si>
  <si>
    <t>Mohanlal Bhat</t>
  </si>
  <si>
    <t>Prerak Shan</t>
  </si>
  <si>
    <t>Adah Vyas</t>
  </si>
  <si>
    <t>Gokul Mani</t>
  </si>
  <si>
    <t>Lakshay Loyal</t>
  </si>
  <si>
    <t>Keya Chanda</t>
  </si>
  <si>
    <t>Tanya Bansal</t>
  </si>
  <si>
    <t>Indranil Sura</t>
  </si>
  <si>
    <t>Mannat Mandal</t>
  </si>
  <si>
    <t>Sumer Lall</t>
  </si>
  <si>
    <t>Armaan Sha</t>
  </si>
  <si>
    <t>Vardaniya Lad</t>
  </si>
  <si>
    <t>Onkar Bora</t>
  </si>
  <si>
    <t>Fateh Wali</t>
  </si>
  <si>
    <t>Saira Dhillon</t>
  </si>
  <si>
    <t>Anay Dara</t>
  </si>
  <si>
    <t>Sana Manne</t>
  </si>
  <si>
    <t>Yuvraj  Suri</t>
  </si>
  <si>
    <t>Aarush Chaudhary</t>
  </si>
  <si>
    <t>Rasha Uppal</t>
  </si>
  <si>
    <t>Jivika Bhatia</t>
  </si>
  <si>
    <t>Eva Maharaj</t>
  </si>
  <si>
    <t>Zoya Borra</t>
  </si>
  <si>
    <t>Ira Mander</t>
  </si>
  <si>
    <t>Aniruddh Chander</t>
  </si>
  <si>
    <t>Devansh Rattan</t>
  </si>
  <si>
    <t>Aradhya Bahri</t>
  </si>
  <si>
    <t>Aradhya Saha</t>
  </si>
  <si>
    <t>Manikya Halder</t>
  </si>
  <si>
    <t>Zara Chopra</t>
  </si>
  <si>
    <t>Mishti Tripathi</t>
  </si>
  <si>
    <t>Aaryahi Vaidya</t>
  </si>
  <si>
    <t>Lagan Grover</t>
  </si>
  <si>
    <t>Prisha Warrior</t>
  </si>
  <si>
    <t>Ela Gara</t>
  </si>
  <si>
    <t>Siya Khatri</t>
  </si>
  <si>
    <t>Badal Ranganathan</t>
  </si>
  <si>
    <t>Manikya Balasubramanian</t>
  </si>
  <si>
    <t>Aaina Borra</t>
  </si>
  <si>
    <t>Prerak Tandon</t>
  </si>
  <si>
    <t>Anaya Krishna</t>
  </si>
  <si>
    <t>Kashvi Loyal</t>
  </si>
  <si>
    <t>Saanvi Sem</t>
  </si>
  <si>
    <t>Vanya Hayre</t>
  </si>
  <si>
    <t>Miraya Thaman</t>
  </si>
  <si>
    <t>Ahana  Wagle</t>
  </si>
  <si>
    <t>Jayesh Toor</t>
  </si>
  <si>
    <t>Jayesh Balan</t>
  </si>
  <si>
    <t>Sara Master</t>
  </si>
  <si>
    <t>Siya Varkey</t>
  </si>
  <si>
    <t>Hiran Ghosh</t>
  </si>
  <si>
    <t>Shlok Chaudhuri</t>
  </si>
  <si>
    <t>Aaryahi Deo</t>
  </si>
  <si>
    <t>Saanvi Chakraborty</t>
  </si>
  <si>
    <t>Alisha Das</t>
  </si>
  <si>
    <t>Divit Bains</t>
  </si>
  <si>
    <t>Adah Konda</t>
  </si>
  <si>
    <t>Alia Rana</t>
  </si>
  <si>
    <t>Aniruddh Gala</t>
  </si>
  <si>
    <t>Anvi Kakar</t>
  </si>
  <si>
    <t>Zain Grover</t>
  </si>
  <si>
    <t>Samar Brahmbhatt</t>
  </si>
  <si>
    <t>Bhavin Sule</t>
  </si>
  <si>
    <t>Sumer Bala</t>
  </si>
  <si>
    <t>Heer Soni</t>
  </si>
  <si>
    <t>Jivin Hayer</t>
  </si>
  <si>
    <t>Samaira Hayre</t>
  </si>
  <si>
    <t>Hunar Devan</t>
  </si>
  <si>
    <t>Devansh Mani</t>
  </si>
  <si>
    <t>Indranil Kara</t>
  </si>
  <si>
    <t>Jhanvi Solanki</t>
  </si>
  <si>
    <t>Charvi Kaur</t>
  </si>
  <si>
    <t>Anya Shere</t>
  </si>
  <si>
    <t>Ahana  Shroff</t>
  </si>
  <si>
    <t>Nehmat Mall</t>
  </si>
  <si>
    <t>Inaaya  Sampath</t>
  </si>
  <si>
    <t>Riya Dash</t>
  </si>
  <si>
    <t>Tiya Viswanathan</t>
  </si>
  <si>
    <t>Nehmat Kar</t>
  </si>
  <si>
    <t>Dhanush Borde</t>
  </si>
  <si>
    <t>Inaaya  Kant</t>
  </si>
  <si>
    <t>Nitya Bera</t>
  </si>
  <si>
    <t>Shamik Bose</t>
  </si>
  <si>
    <t>Aniruddh Reddy</t>
  </si>
  <si>
    <t>Nitara Chander</t>
  </si>
  <si>
    <t>Suhana Deo</t>
  </si>
  <si>
    <t>Veer Kant</t>
  </si>
  <si>
    <t>Manikya Karpe</t>
  </si>
  <si>
    <t>Heer Bahl</t>
  </si>
  <si>
    <t>Hazel Bawa</t>
  </si>
  <si>
    <t>Lakshay Chandra</t>
  </si>
  <si>
    <t>Riaan Uppal</t>
  </si>
  <si>
    <t>Saksham Swaminathan</t>
  </si>
  <si>
    <t>Riaan Kumer</t>
  </si>
  <si>
    <t>Faiyaz Andra</t>
  </si>
  <si>
    <t>Rasha Buch</t>
  </si>
  <si>
    <t>Zaina Kant</t>
  </si>
  <si>
    <t>Faiyaz Hans</t>
  </si>
  <si>
    <t>Hansh Vohra</t>
  </si>
  <si>
    <t>Samiha Balan</t>
  </si>
  <si>
    <t>Prerak Borra</t>
  </si>
  <si>
    <t>Yuvraj  Kant</t>
  </si>
  <si>
    <t>Reyansh Batra</t>
  </si>
  <si>
    <t>Piya Lad</t>
  </si>
  <si>
    <t>Parinaaz Deol</t>
  </si>
  <si>
    <t>Aarna Bumb</t>
  </si>
  <si>
    <t>Amira Bhat</t>
  </si>
  <si>
    <t>Alia Baral</t>
  </si>
  <si>
    <t>Armaan Amble</t>
  </si>
  <si>
    <t>Nehmat Lad</t>
  </si>
  <si>
    <t>Alia Dey</t>
  </si>
  <si>
    <t>Himmat Cherian</t>
  </si>
  <si>
    <t>Chirag Chander</t>
  </si>
  <si>
    <t>Divit Saini</t>
  </si>
  <si>
    <t>Vedika Korpal</t>
  </si>
  <si>
    <t>Vidur Balan</t>
  </si>
  <si>
    <t>Mamooty Ranganathan</t>
  </si>
  <si>
    <t>Manjari Agate</t>
  </si>
  <si>
    <t>Akarsh Gaba</t>
  </si>
  <si>
    <t>Seher Shah</t>
  </si>
  <si>
    <t>Miraya Dash</t>
  </si>
  <si>
    <t>Lagan Sabharwal</t>
  </si>
  <si>
    <t>Darshit Ratti</t>
  </si>
  <si>
    <t>Baiju Sengupta</t>
  </si>
  <si>
    <t>Saksham Soni</t>
  </si>
  <si>
    <t>Dharmajan Apte</t>
  </si>
  <si>
    <t>Akarsh Walia</t>
  </si>
  <si>
    <t>Seher Batta</t>
  </si>
  <si>
    <t>Hridaan Contractor</t>
  </si>
  <si>
    <t>Saira Bose</t>
  </si>
  <si>
    <t>Tanya Sarna</t>
  </si>
  <si>
    <t>Nakul Rana</t>
  </si>
  <si>
    <t>Hazel Dey</t>
  </si>
  <si>
    <t>Advik Balay</t>
  </si>
  <si>
    <t>Ojas Srinivasan</t>
  </si>
  <si>
    <t>Drishya Lata</t>
  </si>
  <si>
    <t>Ojas Arora</t>
  </si>
  <si>
    <t>Hunar Krishna</t>
  </si>
  <si>
    <t>Kismat Aurora</t>
  </si>
  <si>
    <t>Vritika Sharma</t>
  </si>
  <si>
    <t>Mohanlal Chaudhuri</t>
  </si>
  <si>
    <t>Mamooty Kant</t>
  </si>
  <si>
    <t>Sahil Deshmukh</t>
  </si>
  <si>
    <t>Elakshi Dugar</t>
  </si>
  <si>
    <t>Suhana Barman</t>
  </si>
  <si>
    <t>Alia Kari</t>
  </si>
  <si>
    <t>Tanya Chatterjee</t>
  </si>
  <si>
    <t>Anya Cheema</t>
  </si>
  <si>
    <t>Dhruv Guha</t>
  </si>
  <si>
    <t>Tarini Chhabra</t>
  </si>
  <si>
    <t>Miraya Goda</t>
  </si>
  <si>
    <t>Hrishita Chakraborty</t>
  </si>
  <si>
    <t>Elakshi Swamy</t>
  </si>
  <si>
    <t>Sana Bains</t>
  </si>
  <si>
    <t>Ishaan Dugar</t>
  </si>
  <si>
    <t>Samar Seth</t>
  </si>
  <si>
    <t>Divij Rao</t>
  </si>
  <si>
    <t>Saksham Ghose</t>
  </si>
  <si>
    <t>Trisha Khanna</t>
  </si>
  <si>
    <t>Eva Sharma</t>
  </si>
  <si>
    <t>Saanvi Rajan</t>
  </si>
  <si>
    <t>Farhan Chowdhury</t>
  </si>
  <si>
    <t>Armaan Chada</t>
  </si>
  <si>
    <t>Yasmin Chaudhary</t>
  </si>
  <si>
    <t>Divit Gola</t>
  </si>
  <si>
    <t>Ivan Kant</t>
  </si>
  <si>
    <t>Vanya Bhasin</t>
  </si>
  <si>
    <t>Kiaan Jayaraman</t>
  </si>
  <si>
    <t>Hridaan Gala</t>
  </si>
  <si>
    <t>Inaaya  Vohra</t>
  </si>
  <si>
    <t>Adira Jha</t>
  </si>
  <si>
    <t>Nakul Deep</t>
  </si>
  <si>
    <t>Yuvaan Bava</t>
  </si>
  <si>
    <t>Rati Dhillon</t>
  </si>
  <si>
    <t>Aaryahi Lalla</t>
  </si>
  <si>
    <t>Jhanvi Goswami</t>
  </si>
  <si>
    <t>Ivan Chada</t>
  </si>
  <si>
    <t>Adah Sehgal</t>
  </si>
  <si>
    <t>Kaira Karnik</t>
  </si>
  <si>
    <t>Kaira Ben</t>
  </si>
  <si>
    <t>Alia Bansal</t>
  </si>
  <si>
    <t>Ayesha Mann</t>
  </si>
  <si>
    <t>Uthkarsh Sridhar</t>
  </si>
  <si>
    <t>Mamooty Kale</t>
  </si>
  <si>
    <t>Kabir Ratta</t>
  </si>
  <si>
    <t>Ira Chaudhry</t>
  </si>
  <si>
    <t>Rohan Bahl</t>
  </si>
  <si>
    <t>Arnav Kala</t>
  </si>
  <si>
    <t>Vihaan Issac</t>
  </si>
  <si>
    <t>Ojas Dey</t>
  </si>
  <si>
    <t>Lakshit Chadha</t>
  </si>
  <si>
    <t>Seher Bhasin</t>
  </si>
  <si>
    <t>Arnav Kibe</t>
  </si>
  <si>
    <t>Aayush Grover</t>
  </si>
  <si>
    <t>Indrans Kannan</t>
  </si>
  <si>
    <t>Nayantara Brahmbhatt</t>
  </si>
  <si>
    <t>Siya Comar</t>
  </si>
  <si>
    <t>Ishita Vasa</t>
  </si>
  <si>
    <t>Jivika Iyengar</t>
  </si>
  <si>
    <t>Arnav Jani</t>
  </si>
  <si>
    <t>Shalv Swaminathan</t>
  </si>
  <si>
    <t>Jayant Kari</t>
  </si>
  <si>
    <t>Miraya Handa</t>
  </si>
  <si>
    <t>Anvi Golla</t>
  </si>
  <si>
    <t>Alisha Wable</t>
  </si>
  <si>
    <t>Drishya Balasubramanian</t>
  </si>
  <si>
    <t>Divij Saha</t>
  </si>
  <si>
    <t>Saira Wagle</t>
  </si>
  <si>
    <t>Ryan Krishnan</t>
  </si>
  <si>
    <t>Zain Sabharwal</t>
  </si>
  <si>
    <t>Navya Gaba</t>
  </si>
  <si>
    <t>Darshit Bhavsar</t>
  </si>
  <si>
    <t>Kartik De</t>
  </si>
  <si>
    <t>Vihaan Bhardwaj</t>
  </si>
  <si>
    <t>Vanya Sachdev</t>
  </si>
  <si>
    <t>Sahil Bhavsar</t>
  </si>
  <si>
    <t>Hazel Kamdar</t>
  </si>
  <si>
    <t>Keya Dixit</t>
  </si>
  <si>
    <t>Rohan Sharaf</t>
  </si>
  <si>
    <t>Anahita Kaul</t>
  </si>
  <si>
    <t>Indrajit Aggarwal</t>
  </si>
  <si>
    <t>Pranay Dubey</t>
  </si>
  <si>
    <t>Taran Chandran</t>
  </si>
  <si>
    <t>Drishya Das</t>
  </si>
  <si>
    <t>Misha Tripathi</t>
  </si>
  <si>
    <t>Veer Srinivasan</t>
  </si>
  <si>
    <t>Tejas Thakur</t>
  </si>
  <si>
    <t>Ivana Kakar</t>
  </si>
  <si>
    <t>Dishani Savant</t>
  </si>
  <si>
    <t>Anahi Bandi</t>
  </si>
  <si>
    <t>Shayak Srinivasan</t>
  </si>
  <si>
    <t>Aaina Walla</t>
  </si>
  <si>
    <t>Renee Mall</t>
  </si>
  <si>
    <t>Rhea Divan</t>
  </si>
  <si>
    <t>Madhav Yogi</t>
  </si>
  <si>
    <t>Lakshit Dhawan</t>
  </si>
  <si>
    <t>Vidur Balasubramanian</t>
  </si>
  <si>
    <t>Taimur Chahal</t>
  </si>
  <si>
    <t>Kavya Sarkar</t>
  </si>
  <si>
    <t>Hrishita Sood</t>
  </si>
  <si>
    <t>Keya Kamdar</t>
  </si>
  <si>
    <t>Ivan Zacharia</t>
  </si>
  <si>
    <t>Tejas Chandra</t>
  </si>
  <si>
    <t>Ahana  Dyal</t>
  </si>
  <si>
    <t>Anahi Goda</t>
  </si>
  <si>
    <t>Oorja Dugar</t>
  </si>
  <si>
    <t>Anahi Shetty</t>
  </si>
  <si>
    <t>Madhav Behl</t>
  </si>
  <si>
    <t>Advika Sathe</t>
  </si>
  <si>
    <t>Nakul Rao</t>
  </si>
  <si>
    <t>Miraan Chhabra</t>
  </si>
  <si>
    <t>Eshani Handa</t>
  </si>
  <si>
    <t>Oorja Sahota</t>
  </si>
  <si>
    <t>Divij Dhar</t>
  </si>
  <si>
    <t>Faiyaz Bhat</t>
  </si>
  <si>
    <t>Akarsh Sane</t>
  </si>
  <si>
    <t>Azad Gour</t>
  </si>
  <si>
    <t>Samiha Chand</t>
  </si>
  <si>
    <t>Aniruddh Chauhan</t>
  </si>
  <si>
    <t>Jhanvi Thaker</t>
  </si>
  <si>
    <t>Rhea Desai</t>
  </si>
  <si>
    <t>Veer Mann</t>
  </si>
  <si>
    <t>Misha Brahmbhatt</t>
  </si>
  <si>
    <t>Ishaan Sood</t>
  </si>
  <si>
    <t>Gatik Krishna</t>
  </si>
  <si>
    <t>Tushar Dewan</t>
  </si>
  <si>
    <t>Shlok Dewan</t>
  </si>
  <si>
    <t>Parinaaz Sama</t>
  </si>
  <si>
    <t>Nehmat Krish</t>
  </si>
  <si>
    <t>Mamooty Wadhwa</t>
  </si>
  <si>
    <t>Hiran Dhingra</t>
  </si>
  <si>
    <t>Krish Rama</t>
  </si>
  <si>
    <t>Taran Mane</t>
  </si>
  <si>
    <t>Ivana Ray</t>
  </si>
  <si>
    <t>Yuvraj  Choudhury</t>
  </si>
  <si>
    <t>Parinaaz Sethi</t>
  </si>
  <si>
    <t>Dharmajan Jaggi</t>
  </si>
  <si>
    <t>Advika Wason</t>
  </si>
  <si>
    <t>Shayak Dugar</t>
  </si>
  <si>
    <t>Hunar Loyal</t>
  </si>
  <si>
    <t>Ehsaan Acharya</t>
  </si>
  <si>
    <t>Umang Kamdar</t>
  </si>
  <si>
    <t>Misha Lad</t>
  </si>
  <si>
    <t>Darshit Chand</t>
  </si>
  <si>
    <t>Tara Sood</t>
  </si>
  <si>
    <t>Anaya Sur</t>
  </si>
  <si>
    <t>Chirag Badami</t>
  </si>
  <si>
    <t>Hansh Chanda</t>
  </si>
  <si>
    <t>Kanav Kulkarni</t>
  </si>
  <si>
    <t>Aayush Lad</t>
  </si>
  <si>
    <t>Biju Rajagopal</t>
  </si>
  <si>
    <t>Drishya Wason</t>
  </si>
  <si>
    <t>Parinaaz Loyal</t>
  </si>
  <si>
    <t>Inaaya  Mani</t>
  </si>
  <si>
    <t>Saksham Sahni</t>
  </si>
  <si>
    <t>Keya Konda</t>
  </si>
  <si>
    <t>Purab Dhar</t>
  </si>
  <si>
    <t>Hazel Kala</t>
  </si>
  <si>
    <t>Piya Bhat</t>
  </si>
  <si>
    <t>Sana Bhagat</t>
  </si>
  <si>
    <t>Badal Sem</t>
  </si>
  <si>
    <t>Dishani Kala</t>
  </si>
  <si>
    <t>Dishani Samra</t>
  </si>
  <si>
    <t>Neysa Madan</t>
  </si>
  <si>
    <t>Amira Iyengar</t>
  </si>
  <si>
    <t>Jiya Doshi</t>
  </si>
  <si>
    <t>Kanav Dewan</t>
  </si>
  <si>
    <t>Shlok Hegde</t>
  </si>
  <si>
    <t>Armaan Walla</t>
  </si>
  <si>
    <t>Aaryahi Soni</t>
  </si>
  <si>
    <t>Zaina Kara</t>
  </si>
  <si>
    <t>Shray Soman</t>
  </si>
  <si>
    <t>Yuvraj  Ramaswamy</t>
  </si>
  <si>
    <t>Ira Anne</t>
  </si>
  <si>
    <t>Vedika Kulkarni</t>
  </si>
  <si>
    <t>Anay Khare</t>
  </si>
  <si>
    <t>Damini Shukla</t>
  </si>
  <si>
    <t>Anvi Dass</t>
  </si>
  <si>
    <t>Kismat Trivedi</t>
  </si>
  <si>
    <t>Parinaaz Suresh</t>
  </si>
  <si>
    <t>Sara Dhingra</t>
  </si>
  <si>
    <t>Shray Magar</t>
  </si>
  <si>
    <t>Rati Gulati</t>
  </si>
  <si>
    <t>Mohanlal Viswanathan</t>
  </si>
  <si>
    <t>Anay Madan</t>
  </si>
  <si>
    <t>Vaibhav Rana</t>
  </si>
  <si>
    <t>Saanvi Butala</t>
  </si>
  <si>
    <t>Vedika Joshi</t>
  </si>
  <si>
    <t>Shamik Desai</t>
  </si>
  <si>
    <t>Romil Boase</t>
  </si>
  <si>
    <t>Diya Raj</t>
  </si>
  <si>
    <t>Ayesha Malhotra</t>
  </si>
  <si>
    <t>Jayant Sodhi</t>
  </si>
  <si>
    <t>Himmat Sehgal</t>
  </si>
  <si>
    <t>Arhaan Krishna</t>
  </si>
  <si>
    <t>Tanya Mani</t>
  </si>
  <si>
    <t>Trisha Raja</t>
  </si>
  <si>
    <t>Manikya Wagle</t>
  </si>
  <si>
    <t>Indrans Mani</t>
  </si>
  <si>
    <t>Nishith Koshy</t>
  </si>
  <si>
    <t>Shayak Baria</t>
  </si>
  <si>
    <t>Nirvaan Shenoy</t>
  </si>
  <si>
    <t>Heer Bedi</t>
  </si>
  <si>
    <t>Anaya Bobal</t>
  </si>
  <si>
    <t>Advika Bhasin</t>
  </si>
  <si>
    <t>Reyansh Manda</t>
  </si>
  <si>
    <t>Navya Rajan</t>
  </si>
  <si>
    <t>Nitya Kalla</t>
  </si>
  <si>
    <t>Drishya Desai</t>
  </si>
  <si>
    <t>Piya Khurana</t>
  </si>
  <si>
    <t>Vidur Bali</t>
  </si>
  <si>
    <t>Hunar Dass</t>
  </si>
  <si>
    <t>Inaaya  Dhawan</t>
  </si>
  <si>
    <t>Hansh Gopal</t>
  </si>
  <si>
    <t>Indranil Brar</t>
  </si>
  <si>
    <t>Biju Chaudhary</t>
  </si>
  <si>
    <t>Shamik Guha</t>
  </si>
  <si>
    <t>Yasmin Raju</t>
  </si>
  <si>
    <t>Himmat Gala</t>
  </si>
  <si>
    <t>Yashvi Mahajan</t>
  </si>
  <si>
    <t>Kiara Char</t>
  </si>
  <si>
    <t>Charvi Sharaf</t>
  </si>
  <si>
    <t>Anya Sastry</t>
  </si>
  <si>
    <t>Nitya Issac</t>
  </si>
  <si>
    <t>Kashvi Dora</t>
  </si>
  <si>
    <t>Rania Bhatia</t>
  </si>
  <si>
    <t>Madhav Badami</t>
  </si>
  <si>
    <t>Gatik Dua</t>
  </si>
  <si>
    <t>Anahita Srinivas</t>
  </si>
  <si>
    <t>Biju Rana</t>
  </si>
  <si>
    <t>Shamik Dey</t>
  </si>
  <si>
    <t>Arhaan Sood</t>
  </si>
  <si>
    <t>Aarush Savant</t>
  </si>
  <si>
    <t>Jayesh Bora</t>
  </si>
  <si>
    <t>Rasha Baria</t>
  </si>
  <si>
    <t>Veer Chandra</t>
  </si>
  <si>
    <t>Yuvraj  Jaggi</t>
  </si>
  <si>
    <t>Eshani Hari</t>
  </si>
  <si>
    <t>Darshit Vora</t>
  </si>
  <si>
    <t>Yuvaan Gopal</t>
  </si>
  <si>
    <t>Shayak Madan</t>
  </si>
  <si>
    <t>Lakshay Chand</t>
  </si>
  <si>
    <t>Anvi Saini</t>
  </si>
  <si>
    <t>Jayan Gaba</t>
  </si>
  <si>
    <t>Nishith Raja</t>
  </si>
  <si>
    <t>Mehul Chaudry</t>
  </si>
  <si>
    <t>Jivin Kala</t>
  </si>
  <si>
    <t>Yashvi Doctor</t>
  </si>
  <si>
    <t>Ira Rama</t>
  </si>
  <si>
    <t>Navya Sachdev</t>
  </si>
  <si>
    <t>Saira Sangha</t>
  </si>
  <si>
    <t>Vedika Rajagopal</t>
  </si>
  <si>
    <t>Anahi Bassi</t>
  </si>
  <si>
    <t>Vanya Mannan</t>
  </si>
  <si>
    <t>Sana Raval</t>
  </si>
  <si>
    <t>Tara Kalita</t>
  </si>
  <si>
    <t>Hrishita Rau</t>
  </si>
  <si>
    <t>Divit Saran</t>
  </si>
  <si>
    <t>Badal Kota</t>
  </si>
  <si>
    <t>Umang Banerjee</t>
  </si>
  <si>
    <t>Vardaniya Ramesh</t>
  </si>
  <si>
    <t>Suhana Chaudhary</t>
  </si>
  <si>
    <t>Ritvik Madan</t>
  </si>
  <si>
    <t>Taran Kibe</t>
  </si>
  <si>
    <t>Suhana Sani</t>
  </si>
  <si>
    <t>Arnav Shan</t>
  </si>
  <si>
    <t>Biju Issac</t>
  </si>
  <si>
    <t>Sahil Agrawal</t>
  </si>
  <si>
    <t>Shamik Anand</t>
  </si>
  <si>
    <t>Fateh Mannan</t>
  </si>
  <si>
    <t>Bhavin Lala</t>
  </si>
  <si>
    <t>Tushar Divan</t>
  </si>
  <si>
    <t>Shamik Kalla</t>
  </si>
  <si>
    <t>Mannat Sane</t>
  </si>
  <si>
    <t>Kartik Swaminathan</t>
  </si>
  <si>
    <t>Parinaaz Deshmukh</t>
  </si>
  <si>
    <t>Priyansh Kannan</t>
  </si>
  <si>
    <t>Kanav Bains</t>
  </si>
  <si>
    <t>Kabir Anand</t>
  </si>
  <si>
    <t>Vaibhav Chaudhuri</t>
  </si>
  <si>
    <t>Aarush Dey</t>
  </si>
  <si>
    <t>Charvi Bhalla</t>
  </si>
  <si>
    <t>Saksham Kala</t>
  </si>
  <si>
    <t>Pranay Chowdhury</t>
  </si>
  <si>
    <t>Chirag Majumdar</t>
  </si>
  <si>
    <t>Purab Bora</t>
  </si>
  <si>
    <t>Kashvi Hegde</t>
  </si>
  <si>
    <t>Stuvan Viswanathan</t>
  </si>
  <si>
    <t>Kismat Dubey</t>
  </si>
  <si>
    <t>Raunak Sridhar</t>
  </si>
  <si>
    <t>Onkar Gera</t>
  </si>
  <si>
    <t>Oorja Khanna</t>
  </si>
  <si>
    <t>Vivaan Rege</t>
  </si>
  <si>
    <t>Umang Dayal</t>
  </si>
  <si>
    <t>Rohan Ghose</t>
  </si>
  <si>
    <t>Anay Butala</t>
  </si>
  <si>
    <t>Riaan Bora</t>
  </si>
  <si>
    <t>Faiyaz Goda</t>
  </si>
  <si>
    <t>Dharmajan Tandon</t>
  </si>
  <si>
    <t>Ryan Rastogi</t>
  </si>
  <si>
    <t>Jayesh Dugar</t>
  </si>
  <si>
    <t>Alia Sinha</t>
  </si>
  <si>
    <t>Anika Datta</t>
  </si>
  <si>
    <t>Vivaan Baria</t>
  </si>
  <si>
    <t>Shamik Banik</t>
  </si>
  <si>
    <t>Vardaniya Bava</t>
  </si>
  <si>
    <t>Vritika Rajagopal</t>
  </si>
  <si>
    <t>Vidur Shanker</t>
  </si>
  <si>
    <t>Rati Sahota</t>
  </si>
  <si>
    <t>Anahi Basu</t>
  </si>
  <si>
    <t>Mishti Subramanian</t>
  </si>
  <si>
    <t>Yakshit Sule</t>
  </si>
  <si>
    <t>Hazel Rau</t>
  </si>
  <si>
    <t>Yasmin Andra</t>
  </si>
  <si>
    <t>Yasmin Shankar</t>
  </si>
  <si>
    <t>Damini Swamy</t>
  </si>
  <si>
    <t>Kimaya Mane</t>
  </si>
  <si>
    <t>Manjari Bobal</t>
  </si>
  <si>
    <t>Yasmin Tiwari</t>
  </si>
  <si>
    <t>Anya Saraf</t>
  </si>
  <si>
    <t>Zain Ravel</t>
  </si>
  <si>
    <t>Kanav Chada</t>
  </si>
  <si>
    <t>Tara Gara</t>
  </si>
  <si>
    <t>Ahana  Balay</t>
  </si>
  <si>
    <t>Vivaan Vasa</t>
  </si>
  <si>
    <t>Fateh Ravel</t>
  </si>
  <si>
    <t>Kaira Gara</t>
  </si>
  <si>
    <t>Amani Sunder</t>
  </si>
  <si>
    <t>Ivan Ganesan</t>
  </si>
  <si>
    <t>Zain Dave</t>
  </si>
  <si>
    <t>Kashvi Jani</t>
  </si>
  <si>
    <t>Stuvan Thaman</t>
  </si>
  <si>
    <t>Uthkarsh Trivedi</t>
  </si>
  <si>
    <t>Samar Iyengar</t>
  </si>
  <si>
    <t>Azad Dara</t>
  </si>
  <si>
    <t>Ela Rajagopal</t>
  </si>
  <si>
    <t>Riaan Randhawa</t>
  </si>
  <si>
    <t>Kashvi Shenoy</t>
  </si>
  <si>
    <t>Myra Walla</t>
  </si>
  <si>
    <t>Divit Jha</t>
  </si>
  <si>
    <t>Jivika Gala</t>
  </si>
  <si>
    <t>Tara Kar</t>
  </si>
  <si>
    <t>Keya Bir</t>
  </si>
  <si>
    <t>Nishith Rau</t>
  </si>
  <si>
    <t>Nishith Jayaraman</t>
  </si>
  <si>
    <t>Zain Sharaf</t>
  </si>
  <si>
    <t>Diya Dey</t>
  </si>
  <si>
    <t>Ahana  Savant</t>
  </si>
  <si>
    <t>Uthkarsh Dayal</t>
  </si>
  <si>
    <t>Stuvan Dube</t>
  </si>
  <si>
    <t>Aradhya Gandhi</t>
  </si>
  <si>
    <t>Nakul Savant</t>
  </si>
  <si>
    <t>Rania Basak</t>
  </si>
  <si>
    <t>Yakshit Butala</t>
  </si>
  <si>
    <t>Divij Master</t>
  </si>
  <si>
    <t>Aayush Keer</t>
  </si>
  <si>
    <t>Pari Mandal</t>
  </si>
  <si>
    <t>Kashvi Bera</t>
  </si>
  <si>
    <t>Mahika Karpe</t>
  </si>
  <si>
    <t>Nirvi Ravel</t>
  </si>
  <si>
    <t>Khushi Kapur</t>
  </si>
  <si>
    <t>Ela Bhandari</t>
  </si>
  <si>
    <t>Kaira Chahal</t>
  </si>
  <si>
    <t>Ishita Hegde</t>
  </si>
  <si>
    <t>Shayak Sridhar</t>
  </si>
  <si>
    <t>Mannat Banik</t>
  </si>
  <si>
    <t>Divij Dubey</t>
  </si>
  <si>
    <t>Rania Subramanian</t>
  </si>
  <si>
    <t>Nitara Rastogi</t>
  </si>
  <si>
    <t>Riaan Kala</t>
  </si>
  <si>
    <t>Lagan Dara</t>
  </si>
  <si>
    <t>Dishani Suri</t>
  </si>
  <si>
    <t>Gokul Chakraborty</t>
  </si>
  <si>
    <t>Samar Seshadri</t>
  </si>
  <si>
    <t>Aarush Zacharia</t>
  </si>
  <si>
    <t>Keya Srinivasan</t>
  </si>
  <si>
    <t>Jayant Badami</t>
  </si>
  <si>
    <t>Shalv Gola</t>
  </si>
  <si>
    <t>Aradhya Borde</t>
  </si>
  <si>
    <t>Aarav Chopra</t>
  </si>
  <si>
    <t>Heer Kota</t>
  </si>
  <si>
    <t>Devansh Sant</t>
  </si>
  <si>
    <t>Darshit Majumdar</t>
  </si>
  <si>
    <t>Nayantara Thaman</t>
  </si>
  <si>
    <t>Dhanush Khosla</t>
  </si>
  <si>
    <t>Nitara Thaker</t>
  </si>
  <si>
    <t>Nehmat Suresh</t>
  </si>
  <si>
    <t>Eshani Bala</t>
  </si>
  <si>
    <t>Seher Karnik</t>
  </si>
  <si>
    <t>Nitara Zachariah</t>
  </si>
  <si>
    <t>Dharmajan Raju</t>
  </si>
  <si>
    <t>Indrans Anand</t>
  </si>
  <si>
    <t>Anika Sane</t>
  </si>
  <si>
    <t>Azad Agrawal</t>
  </si>
  <si>
    <t>Ayesha Korpal</t>
  </si>
  <si>
    <t>Divij Mangat</t>
  </si>
  <si>
    <t>Siya Goswami</t>
  </si>
  <si>
    <t>Priyansh Chandra</t>
  </si>
  <si>
    <t>Parinaaz Bhasin</t>
  </si>
  <si>
    <t>Drishya Bedi</t>
  </si>
  <si>
    <t>Lagan Karan</t>
  </si>
  <si>
    <t>Jivin Sandhu</t>
  </si>
  <si>
    <t>Shaan Sant</t>
  </si>
  <si>
    <t>Kashvi Dada</t>
  </si>
  <si>
    <t>Pihu Chhabra</t>
  </si>
  <si>
    <t>Ishaan Bhalla</t>
  </si>
  <si>
    <t>Dishani Kanda</t>
  </si>
  <si>
    <t>Samiha Sarma</t>
  </si>
  <si>
    <t>Samar Vala</t>
  </si>
  <si>
    <t>Chirag Dutta</t>
  </si>
  <si>
    <t>Elakshi Ramesh</t>
  </si>
  <si>
    <t>Prerak Mani</t>
  </si>
  <si>
    <t>Kaira Amble</t>
  </si>
  <si>
    <t>Reyansh Wable</t>
  </si>
  <si>
    <t>Mannat Sani</t>
  </si>
  <si>
    <t>Ojas Sant</t>
  </si>
  <si>
    <t>Ritvik Goel</t>
  </si>
  <si>
    <t>Bhavin Deo</t>
  </si>
  <si>
    <t>Taran Tripathi</t>
  </si>
  <si>
    <t>Armaan Mand</t>
  </si>
  <si>
    <t>Yasmin Rajagopalan</t>
  </si>
  <si>
    <t>Siya Balakrishnan</t>
  </si>
  <si>
    <t>Aarav Vala</t>
  </si>
  <si>
    <t>Darshit Shankar</t>
  </si>
  <si>
    <t>Chirag Anne</t>
  </si>
  <si>
    <t>Zaina Baria</t>
  </si>
  <si>
    <t>Divit Ahluwalia</t>
  </si>
  <si>
    <t>Mohanlal Bahl</t>
  </si>
  <si>
    <t>Vritika Madan</t>
  </si>
  <si>
    <t>Neysa Sridhar</t>
  </si>
  <si>
    <t>Damini Sarma</t>
  </si>
  <si>
    <t>Shanaya Kant</t>
  </si>
  <si>
    <t>Tushar Bumb</t>
  </si>
  <si>
    <t>Hrishita Hayre</t>
  </si>
  <si>
    <t>Elakshi Chaudhari</t>
  </si>
  <si>
    <t>Nitara Mannan</t>
  </si>
  <si>
    <t>Ishita Chacko</t>
  </si>
  <si>
    <t>Biju Dani</t>
  </si>
  <si>
    <t>Tara Lalla</t>
  </si>
  <si>
    <t>Lakshit Rout</t>
  </si>
  <si>
    <t>Rania Cherian</t>
  </si>
  <si>
    <t>Tarini Suresh</t>
  </si>
  <si>
    <t>Anaya Srinivasan</t>
  </si>
  <si>
    <t>Vardaniya Batra</t>
  </si>
  <si>
    <t>Vardaniya Gade</t>
  </si>
  <si>
    <t>Vedika Devan</t>
  </si>
  <si>
    <t>Faiyaz Viswanathan</t>
  </si>
  <si>
    <t>Vaibhav Kapoor</t>
  </si>
  <si>
    <t>Aarav Kala</t>
  </si>
  <si>
    <t>Shamik Apte</t>
  </si>
  <si>
    <t>Jivika Srinivasan</t>
  </si>
  <si>
    <t>Amira Devi</t>
  </si>
  <si>
    <t>Gokul Mammen</t>
  </si>
  <si>
    <t>Ehsaan Balan</t>
  </si>
  <si>
    <t>Aradhya Bora</t>
  </si>
  <si>
    <t>Prerak Sunder</t>
  </si>
  <si>
    <t>Kanav Taneja</t>
  </si>
  <si>
    <t>Adira Agrawal</t>
  </si>
  <si>
    <t>Ishita Chawla</t>
  </si>
  <si>
    <t>Yashvi Tella</t>
  </si>
  <si>
    <t>Alisha Wason</t>
  </si>
  <si>
    <t>Divyansh Basu</t>
  </si>
  <si>
    <t>Dharmajan Bhat</t>
  </si>
  <si>
    <t>Ahana  Bhatia</t>
  </si>
  <si>
    <t>Ahana  Dube</t>
  </si>
  <si>
    <t>Vedika Sathe</t>
  </si>
  <si>
    <t>Sana Guha</t>
  </si>
  <si>
    <t>Zaina Dhawan</t>
  </si>
  <si>
    <t>Rati Mani</t>
  </si>
  <si>
    <t>Jhanvi Bobal</t>
  </si>
  <si>
    <t>Zain Garg</t>
  </si>
  <si>
    <t>Ehsaan Gola</t>
  </si>
  <si>
    <t>Eva Bajwa</t>
  </si>
  <si>
    <t>Nitya Rattan</t>
  </si>
  <si>
    <t>Zara Bajwa</t>
  </si>
  <si>
    <t>Khushi Jhaveri</t>
  </si>
  <si>
    <t>Suhana Chada</t>
  </si>
  <si>
    <t>Madhav Jha</t>
  </si>
  <si>
    <t>Anahi Swamy</t>
  </si>
  <si>
    <t>Chirag Bala</t>
  </si>
  <si>
    <t>Baiju Raval</t>
  </si>
  <si>
    <t>Vidur Kade</t>
  </si>
  <si>
    <t>Jivin Sawhney</t>
  </si>
  <si>
    <t>Mamooty Bath</t>
  </si>
  <si>
    <t>Shlok Wali</t>
  </si>
  <si>
    <t>Abram Dugar</t>
  </si>
  <si>
    <t>Eshani Mahal</t>
  </si>
  <si>
    <t>Shanaya Khanna</t>
  </si>
  <si>
    <t>Ira Sami</t>
  </si>
  <si>
    <t>Divij Rau</t>
  </si>
  <si>
    <t>Biju Ghose</t>
  </si>
  <si>
    <t>Zoya Karan</t>
  </si>
  <si>
    <t>Aaina Loyal</t>
  </si>
  <si>
    <t>Parinaaz Sangha</t>
  </si>
  <si>
    <t>Hrishita Biswas</t>
  </si>
  <si>
    <t>Kimaya Mannan</t>
  </si>
  <si>
    <t>Myra Karan</t>
  </si>
  <si>
    <t>Diya Dhawan</t>
  </si>
  <si>
    <t>Anahi Chand</t>
  </si>
  <si>
    <t>Nakul Garde</t>
  </si>
  <si>
    <t>Eshani Ghose</t>
  </si>
  <si>
    <t>Diya Bala</t>
  </si>
  <si>
    <t>Kavya Dass</t>
  </si>
  <si>
    <t>Akarsh Mangat</t>
  </si>
  <si>
    <t>Jiya Khalsa</t>
  </si>
  <si>
    <t>Anaya Bhandari</t>
  </si>
  <si>
    <t>Taran Dutt</t>
  </si>
  <si>
    <t>Shray Arya</t>
  </si>
  <si>
    <t>Yuvraj  Shah</t>
  </si>
  <si>
    <t>Zara Deol</t>
  </si>
  <si>
    <t>Badal Atwal</t>
  </si>
  <si>
    <t>Farhan Setty</t>
  </si>
  <si>
    <t>Indrans Madan</t>
  </si>
  <si>
    <t>Nitara Batra</t>
  </si>
  <si>
    <t>Vivaan Solanki</t>
  </si>
  <si>
    <t>Jayan Kaur</t>
  </si>
  <si>
    <t>Alisha Hegde</t>
  </si>
  <si>
    <t>Anahita Ganesan</t>
  </si>
  <si>
    <t>Samaira Rau</t>
  </si>
  <si>
    <t>Taimur Apte</t>
  </si>
  <si>
    <t>Pihu Dora</t>
  </si>
  <si>
    <t>Urvi Uppal</t>
  </si>
  <si>
    <t>Yuvraj  Chada</t>
  </si>
  <si>
    <t>Keya Balay</t>
  </si>
  <si>
    <t>Arhaan Rout</t>
  </si>
  <si>
    <t>Tejas Ray</t>
  </si>
  <si>
    <t>Akarsh Dâ€™Alia</t>
  </si>
  <si>
    <t>Tanya Swaminathan</t>
  </si>
  <si>
    <t>Himmat Raj</t>
  </si>
  <si>
    <t>Myra Vala</t>
  </si>
  <si>
    <t>Shalv Sarin</t>
  </si>
  <si>
    <t>Misha Karan</t>
  </si>
  <si>
    <t>Nirvaan Varty</t>
  </si>
  <si>
    <t>Aniruddh Raj</t>
  </si>
  <si>
    <t>Anvi Venkatesh</t>
  </si>
  <si>
    <t>Zain Bahl</t>
  </si>
  <si>
    <t>Rania Krish</t>
  </si>
  <si>
    <t>Nayantara Butala</t>
  </si>
  <si>
    <t>Gatik Lala</t>
  </si>
  <si>
    <t>Nayantara Manda</t>
  </si>
  <si>
    <t>Abram Sinha</t>
  </si>
  <si>
    <t>Gatik Sura</t>
  </si>
  <si>
    <t>Shayak Bhavsar</t>
  </si>
  <si>
    <t>Renee Raval</t>
  </si>
  <si>
    <t>Vanya Dara</t>
  </si>
  <si>
    <t>Rohan Shanker</t>
  </si>
  <si>
    <t>Saira Babu</t>
  </si>
  <si>
    <t>Himmat Sastry</t>
  </si>
  <si>
    <t>Charvi Subramaniam</t>
  </si>
  <si>
    <t>Tanya Sengupta</t>
  </si>
  <si>
    <t>Himmat Dey</t>
  </si>
  <si>
    <t>Tarini Biswas</t>
  </si>
  <si>
    <t>Oorja Yadav</t>
  </si>
  <si>
    <t>Amira Baral</t>
  </si>
  <si>
    <t>Prisha Guha</t>
  </si>
  <si>
    <t>Anaya Kumer</t>
  </si>
  <si>
    <t>Chirag Balay</t>
  </si>
  <si>
    <t>Purab Manne</t>
  </si>
  <si>
    <t>Ela Gour</t>
  </si>
  <si>
    <t>Oorja Bora</t>
  </si>
  <si>
    <t>Aaryahi Sami</t>
  </si>
  <si>
    <t>Alia Kothari</t>
  </si>
  <si>
    <t>Kanav Mahal</t>
  </si>
  <si>
    <t>Manikya Krishnan</t>
  </si>
  <si>
    <t>Misha Grover</t>
  </si>
  <si>
    <t>Samiha Reddy</t>
  </si>
  <si>
    <t>Vanya Chaudry</t>
  </si>
  <si>
    <t>Hazel Lall</t>
  </si>
  <si>
    <t>Faiyaz Dutt</t>
  </si>
  <si>
    <t>Trisha Manda</t>
  </si>
  <si>
    <t>Dhanush Yogi</t>
  </si>
  <si>
    <t>Pranay Shukla</t>
  </si>
  <si>
    <t>Hiran Kara</t>
  </si>
  <si>
    <t>Amani De</t>
  </si>
  <si>
    <t>Sahil Dutta</t>
  </si>
  <si>
    <t>Neysa Contractor</t>
  </si>
  <si>
    <t>Hunar Dewan</t>
  </si>
  <si>
    <t>Sahil Sha</t>
  </si>
  <si>
    <t>Hiran Chhabra</t>
  </si>
  <si>
    <t>Madhup Hari</t>
  </si>
  <si>
    <t>Bhamini Rattan</t>
  </si>
  <si>
    <t>Samarth Kashyap</t>
  </si>
  <si>
    <t>Amani Ganesh</t>
  </si>
  <si>
    <t>Armaan Mann</t>
  </si>
  <si>
    <t>Sara Bhat</t>
  </si>
  <si>
    <t>Manikya Walla</t>
  </si>
  <si>
    <t>Ishaan Kar</t>
  </si>
  <si>
    <t>Badal Master</t>
  </si>
  <si>
    <t>Jiya Johal</t>
  </si>
  <si>
    <t>Ryan Butala</t>
  </si>
  <si>
    <t>Saanvi Samra</t>
  </si>
  <si>
    <t>Jayan Maharaj</t>
  </si>
  <si>
    <t>Dhanuk Chowdhury</t>
  </si>
  <si>
    <t>Mehul Sura</t>
  </si>
  <si>
    <t>Rohan Mann</t>
  </si>
  <si>
    <t>Gatik Bhalla</t>
  </si>
  <si>
    <t>Anaya Chowdhury</t>
  </si>
  <si>
    <t>Adira Kalita</t>
  </si>
  <si>
    <t>Farhan Dayal</t>
  </si>
  <si>
    <t>Dhruv Bail</t>
  </si>
  <si>
    <t>Amira Goel</t>
  </si>
  <si>
    <t>Manjari Keer</t>
  </si>
  <si>
    <t>Romil Kari</t>
  </si>
  <si>
    <t>Lagan Sen</t>
  </si>
  <si>
    <t>Taimur Tank</t>
  </si>
  <si>
    <t>Dharmajan Dixit</t>
  </si>
  <si>
    <t>Yakshit Chaudry</t>
  </si>
  <si>
    <t>Vidur Rajan</t>
  </si>
  <si>
    <t>Advik Bhatt</t>
  </si>
  <si>
    <t>Jiya Sathe</t>
  </si>
  <si>
    <t>Ojas Kumer</t>
  </si>
  <si>
    <t>Lavanya Borde</t>
  </si>
  <si>
    <t>Arhaan Comar</t>
  </si>
  <si>
    <t>Manjari Andra</t>
  </si>
  <si>
    <t>Zain Atwal</t>
  </si>
  <si>
    <t>Krish Ghose</t>
  </si>
  <si>
    <t>Divyansh Kunda</t>
  </si>
  <si>
    <t>Taran Vasa</t>
  </si>
  <si>
    <t>Ritvik Jaggi</t>
  </si>
  <si>
    <t>Nitya Viswanathan</t>
  </si>
  <si>
    <t>Azad Bhakta</t>
  </si>
  <si>
    <t>Bhamini Sane</t>
  </si>
  <si>
    <t>Shray Wason</t>
  </si>
  <si>
    <t>Bhavin Edwin</t>
  </si>
  <si>
    <t>Devansh Gaba</t>
  </si>
  <si>
    <t>Ivana Goyal</t>
  </si>
  <si>
    <t>Faiyaz Gandhi</t>
  </si>
  <si>
    <t>Vedika Lal</t>
  </si>
  <si>
    <t>Aniruddh Shukla</t>
  </si>
  <si>
    <t>Aniruddh Chowdhury</t>
  </si>
  <si>
    <t>Uthkarsh Wagle</t>
  </si>
  <si>
    <t>Mamooty Saha</t>
  </si>
  <si>
    <t>Manjari Gera</t>
  </si>
  <si>
    <t>Parinaaz Dara</t>
  </si>
  <si>
    <t>Devansh Jayaraman</t>
  </si>
  <si>
    <t>Kabir Bera</t>
  </si>
  <si>
    <t>Pari Lal</t>
  </si>
  <si>
    <t>Anvi Bhagat</t>
  </si>
  <si>
    <t>Baiju Chokshi</t>
  </si>
  <si>
    <t>Veer Iyengar</t>
  </si>
  <si>
    <t>Aaina Bahri</t>
  </si>
  <si>
    <t>Nirvaan Dass</t>
  </si>
  <si>
    <t>Mannat Mand</t>
  </si>
  <si>
    <t>Sana Bhatnagar</t>
  </si>
  <si>
    <t>Renee Walia</t>
  </si>
  <si>
    <t>Dhanush Tella</t>
  </si>
  <si>
    <t>Yakshit Chowdhury</t>
  </si>
  <si>
    <t>Jivika Cheema</t>
  </si>
  <si>
    <t>Bhamini Tella</t>
  </si>
  <si>
    <t>Farhan Vyas</t>
  </si>
  <si>
    <t>Saanvi Dugal</t>
  </si>
  <si>
    <t>Devansh Devi</t>
  </si>
  <si>
    <t>Madhup Bahl</t>
  </si>
  <si>
    <t>Lakshit Keer</t>
  </si>
  <si>
    <t>Suhana Sarma</t>
  </si>
  <si>
    <t>Kabir Sangha</t>
  </si>
  <si>
    <t>Dhanush Dani</t>
  </si>
  <si>
    <t>Saanvi Ben</t>
  </si>
  <si>
    <t>Ivan Kannan</t>
  </si>
  <si>
    <t>Nakul Bala</t>
  </si>
  <si>
    <t>Emir Bhatia</t>
  </si>
  <si>
    <t>Prisha Bumb</t>
  </si>
  <si>
    <t>Eva Basu</t>
  </si>
  <si>
    <t>Anahita Bedi</t>
  </si>
  <si>
    <t>Navya Thaker</t>
  </si>
  <si>
    <t>Saksham Som</t>
  </si>
  <si>
    <t>Ritvik Rege</t>
  </si>
  <si>
    <t>Inaaya  Krishna</t>
  </si>
  <si>
    <t>Jiya Balasubramanian</t>
  </si>
  <si>
    <t>Kismat Mall</t>
  </si>
  <si>
    <t>Ojas Dave</t>
  </si>
  <si>
    <t>Rati Chacko</t>
  </si>
  <si>
    <t>Hazel Sahota</t>
  </si>
  <si>
    <t>Kaira Sibal</t>
  </si>
  <si>
    <t>Reyansh Ahuja</t>
  </si>
  <si>
    <t>Nehmat Soni</t>
  </si>
  <si>
    <t>Indrans Dhawan</t>
  </si>
  <si>
    <t>Tushar Lata</t>
  </si>
  <si>
    <t>Nishith Hegde</t>
  </si>
  <si>
    <t>Zeeshan Chowdhury</t>
  </si>
  <si>
    <t>Kavya Arya</t>
  </si>
  <si>
    <t>Vaibhav Sarkar</t>
  </si>
  <si>
    <t>Renee Majumdar</t>
  </si>
  <si>
    <t>Ojas Andra</t>
  </si>
  <si>
    <t>Aaina Saran</t>
  </si>
  <si>
    <t>Tanya Sundaram</t>
  </si>
  <si>
    <t>Himmat Vaidya</t>
  </si>
  <si>
    <t>Neelofar Tara</t>
  </si>
  <si>
    <t>Jivin Sarkar</t>
  </si>
  <si>
    <t>Anahita Bera</t>
  </si>
  <si>
    <t>Prerak Tak</t>
  </si>
  <si>
    <t>Dharmajan Contractor</t>
  </si>
  <si>
    <t>Azad Upadhyay</t>
  </si>
  <si>
    <t>Indranil Bhatnagar</t>
  </si>
  <si>
    <t>Anahita Bhattacharyya</t>
  </si>
  <si>
    <t>Kavya Gupta</t>
  </si>
  <si>
    <t>Hiran Krish</t>
  </si>
  <si>
    <t>Krish Karnik</t>
  </si>
  <si>
    <t>Jivika Buch</t>
  </si>
  <si>
    <t>Rasha Dash</t>
  </si>
  <si>
    <t>Miraan Warrior</t>
  </si>
  <si>
    <t>Vivaan Singhal</t>
  </si>
  <si>
    <t>Saksham Bahri</t>
  </si>
  <si>
    <t>Vedika Bhavsar</t>
  </si>
  <si>
    <t>Ojas Badami</t>
  </si>
  <si>
    <t>Shalv Buch</t>
  </si>
  <si>
    <t>Reyansh Andra</t>
  </si>
  <si>
    <t>Dharmajan Khare</t>
  </si>
  <si>
    <t>Kaira Jhaveri</t>
  </si>
  <si>
    <t>Zoya Walla</t>
  </si>
  <si>
    <t>Ishita Dora</t>
  </si>
  <si>
    <t>Renee Lalla</t>
  </si>
  <si>
    <t>Sahil Sheth</t>
  </si>
  <si>
    <t>Manjari Chada</t>
  </si>
  <si>
    <t>Eva Rama</t>
  </si>
  <si>
    <t>Oorja Shanker</t>
  </si>
  <si>
    <t>Vritika Bobal</t>
  </si>
  <si>
    <t>Sara Kakar</t>
  </si>
  <si>
    <t>Arnav Ramakrishnan</t>
  </si>
  <si>
    <t>Jayan Dalal</t>
  </si>
  <si>
    <t>Suhana Dasgupta</t>
  </si>
  <si>
    <t>Ahana  Reddy</t>
  </si>
  <si>
    <t>Shalv Bahl</t>
  </si>
  <si>
    <t>Rati Tiwari</t>
  </si>
  <si>
    <t>Lakshit Bumb</t>
  </si>
  <si>
    <t>Miraan Shenoy</t>
  </si>
  <si>
    <t>Kaira Barman</t>
  </si>
  <si>
    <t>Zain Edwin</t>
  </si>
  <si>
    <t>Anya Biswas</t>
  </si>
  <si>
    <t>Vidur Sharma</t>
  </si>
  <si>
    <t>Zeeshan Bansal</t>
  </si>
  <si>
    <t>Divij Rajan</t>
  </si>
  <si>
    <t>Krish Kibe</t>
  </si>
  <si>
    <t>Nirvaan Zacharia</t>
  </si>
  <si>
    <t>Rohan Chad</t>
  </si>
  <si>
    <t>Navya Sastry</t>
  </si>
  <si>
    <t>Nishith Solanki</t>
  </si>
  <si>
    <t>Zain Sarkar</t>
  </si>
  <si>
    <t>Prerak Kurian</t>
  </si>
  <si>
    <t>Kabir Grover</t>
  </si>
  <si>
    <t>Rati Solanki</t>
  </si>
  <si>
    <t>Bhavin Bera</t>
  </si>
  <si>
    <t>Jhanvi Krish</t>
  </si>
  <si>
    <t>Biju Shanker</t>
  </si>
  <si>
    <t>Dhanuk Hegde</t>
  </si>
  <si>
    <t>Pihu Sharaf</t>
  </si>
  <si>
    <t>Mahika Shanker</t>
  </si>
  <si>
    <t>Anay Hayre</t>
  </si>
  <si>
    <t>Tejas Chandran</t>
  </si>
  <si>
    <t>Riya Ghosh</t>
  </si>
  <si>
    <t>Shanaya Sawhney</t>
  </si>
  <si>
    <t>Vihaan Rout</t>
  </si>
  <si>
    <t>Purab Sachar</t>
  </si>
  <si>
    <t>Vaibhav Sinha</t>
  </si>
  <si>
    <t>Sara Din</t>
  </si>
  <si>
    <t>Darshit Ranganathan</t>
  </si>
  <si>
    <t>Tara Mannan</t>
  </si>
  <si>
    <t>Nitya Ganesh</t>
  </si>
  <si>
    <t>Shray Dubey</t>
  </si>
  <si>
    <t>Kaira Kumar</t>
  </si>
  <si>
    <t>Rati Date</t>
  </si>
  <si>
    <t>Baiju Dubey</t>
  </si>
  <si>
    <t>Sum of Transaction Amount (INR)</t>
  </si>
  <si>
    <t>Row Labels</t>
  </si>
  <si>
    <t>Grand Total</t>
  </si>
  <si>
    <t>Sum of Fraud Score</t>
  </si>
  <si>
    <t>Sum of IsFraud</t>
  </si>
  <si>
    <t>Jan</t>
  </si>
  <si>
    <t>Feb</t>
  </si>
  <si>
    <t>Mar</t>
  </si>
  <si>
    <t>Apr</t>
  </si>
  <si>
    <t>May</t>
  </si>
  <si>
    <t>Jun</t>
  </si>
  <si>
    <t>Jul</t>
  </si>
  <si>
    <t>Aug</t>
  </si>
  <si>
    <t>Sep</t>
  </si>
  <si>
    <t>Oct</t>
  </si>
  <si>
    <t>Nov</t>
  </si>
  <si>
    <t>Dec</t>
  </si>
  <si>
    <t>Months (Transaction Date)</t>
  </si>
  <si>
    <t>Count of Fraud Risk</t>
  </si>
  <si>
    <t>Count of Fraud Type</t>
  </si>
  <si>
    <t>Sum of Transaction ID</t>
  </si>
  <si>
    <t>MOM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</si>
</sst>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 &quot;₹&quot;\ * #,##0.00_ ;_ &quot;₹&quot;\ * \-#,##0.00_ ;_ &quot;₹&quot;\ * &quot;-&quot;??_ ;_ @_ "/>
    <numFmt numFmtId="164" formatCode="#\ 0.00,,\M"/>
    <numFmt numFmtId="165" formatCode="&quot;#&quot;\ #,##0"/>
    <numFmt numFmtId="166" formatCode="&quot;#&quot;\ #"/>
    <numFmt numFmtId="167" formatCode="[Green]\▲0.00%;[Red]\ \▼0.00%"/>
    <numFmt numFmtId="168" formatCode="#.00,,\M"/>
    <numFmt numFmtId="169" formatCode="&quot;₹&quot;\ #.00,,\M"/>
  </numFmts>
  <fonts count="2" x14ac:knownFonts="1">
    <font>
      <sz val="11"/>
      <color theme="1"/>
      <name val="Calibri"/>
      <family val="2"/>
      <scheme val="minor"/>
    </font>
    <font>
      <sz val="11"/>
      <color theme="1"/>
      <name val="Calibri"/>
      <family val="2"/>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2">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0" fillId="0" borderId="1" xfId="0" pivotButton="1" applyBorder="1"/>
    <xf numFmtId="0" fontId="0" fillId="0" borderId="1" xfId="0" applyBorder="1"/>
    <xf numFmtId="0" fontId="0" fillId="0" borderId="1"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0" borderId="2" xfId="0" applyBorder="1" applyAlignment="1">
      <alignment horizontal="left"/>
    </xf>
    <xf numFmtId="0" fontId="0" fillId="0" borderId="5" xfId="0" pivotButton="1" applyBorder="1"/>
    <xf numFmtId="0" fontId="0" fillId="0" borderId="6" xfId="0" applyBorder="1"/>
    <xf numFmtId="0" fontId="0" fillId="0" borderId="7" xfId="0" applyBorder="1" applyAlignment="1">
      <alignment horizontal="left"/>
    </xf>
    <xf numFmtId="165" fontId="0" fillId="0" borderId="0" xfId="0" applyNumberFormat="1"/>
    <xf numFmtId="0" fontId="0" fillId="0" borderId="11" xfId="0" applyBorder="1"/>
    <xf numFmtId="10" fontId="0" fillId="0" borderId="0" xfId="2" applyNumberFormat="1" applyFont="1"/>
    <xf numFmtId="166" fontId="0" fillId="0" borderId="0" xfId="0" applyNumberFormat="1"/>
    <xf numFmtId="167" fontId="0" fillId="0" borderId="0" xfId="0" applyNumberFormat="1"/>
    <xf numFmtId="168" fontId="0" fillId="0" borderId="2" xfId="0" applyNumberFormat="1" applyBorder="1"/>
    <xf numFmtId="168" fontId="0" fillId="0" borderId="3" xfId="0" applyNumberFormat="1" applyBorder="1"/>
    <xf numFmtId="168" fontId="0" fillId="0" borderId="4" xfId="0" applyNumberFormat="1" applyBorder="1"/>
    <xf numFmtId="169" fontId="0" fillId="0" borderId="0" xfId="1" applyNumberFormat="1" applyFont="1"/>
    <xf numFmtId="169" fontId="0" fillId="0" borderId="0" xfId="0" applyNumberFormat="1"/>
    <xf numFmtId="0" fontId="0" fillId="0" borderId="8" xfId="0" applyBorder="1"/>
    <xf numFmtId="0" fontId="0" fillId="0" borderId="1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7" xfId="0" applyBorder="1"/>
    <xf numFmtId="0" fontId="0" fillId="0" borderId="9" xfId="0" applyBorder="1"/>
  </cellXfs>
  <cellStyles count="3">
    <cellStyle name="Currency" xfId="1" builtinId="4"/>
    <cellStyle name="Normal" xfId="0" builtinId="0"/>
    <cellStyle name="Percent" xfId="2" builtinId="5"/>
  </cellStyles>
  <dxfs count="4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00,,\M"/>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i val="0"/>
        <sz val="11"/>
        <color theme="0"/>
        <name val="Calibri"/>
        <family val="2"/>
        <scheme val="minor"/>
      </font>
    </dxf>
    <dxf>
      <font>
        <b/>
        <i val="0"/>
        <color theme="0"/>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0"/>
      </font>
    </dxf>
    <dxf>
      <fill>
        <patternFill>
          <bgColor theme="1"/>
        </patternFill>
      </fill>
      <border>
        <left style="hair">
          <color auto="1"/>
        </left>
        <right style="hair">
          <color auto="1"/>
        </right>
        <top style="hair">
          <color auto="1"/>
        </top>
        <bottom style="hair">
          <color auto="1"/>
        </bottom>
      </border>
    </dxf>
  </dxfs>
  <tableStyles count="2" defaultTableStyle="TableStyleMedium2" defaultPivotStyle="PivotStyleLight16">
    <tableStyle name="Slicer Style 1" pivot="0" table="0" count="6" xr9:uid="{2A48A9D1-74F2-4A77-BAAD-A4D408E4F654}">
      <tableStyleElement type="wholeTable" dxfId="47"/>
      <tableStyleElement type="headerRow" dxfId="46"/>
    </tableStyle>
    <tableStyle name="Timeline Style 1" pivot="0" table="0" count="8" xr9:uid="{665DC780-1EFD-44B9-A54F-4A4FCB2FAE08}">
      <tableStyleElement type="wholeTable" dxfId="45"/>
      <tableStyleElement type="headerRow" dxfId="44"/>
    </tableStyle>
  </tableStyles>
  <extLst>
    <ext xmlns:x14="http://schemas.microsoft.com/office/spreadsheetml/2009/9/main" uri="{46F421CA-312F-682f-3DD2-61675219B42D}">
      <x14:dxfs count="4">
        <dxf>
          <font>
            <b val="0"/>
            <i val="0"/>
            <color theme="0"/>
          </font>
        </dxf>
        <dxf>
          <font>
            <b val="0"/>
            <i val="0"/>
            <color theme="0"/>
          </font>
        </dxf>
        <dxf>
          <fill>
            <patternFill>
              <bgColor theme="0"/>
            </patternFill>
          </fill>
        </dxf>
        <dxf>
          <font>
            <b val="0"/>
            <i val="0"/>
            <color theme="0"/>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A0A4C193-F2C1-4fcb-8827-314CF55A85BB}">
      <x15:dxfs count="6">
        <dxf>
          <fill>
            <patternFill patternType="solid">
              <fgColor theme="0" tint="-0.14996795556505021"/>
              <bgColor theme="1" tint="0.24994659260841701"/>
            </patternFill>
          </fill>
        </dxf>
        <dxf>
          <fill>
            <patternFill patternType="solid">
              <fgColor theme="0"/>
              <bgColor theme="1" tint="0.24994659260841701"/>
            </patternFill>
          </fill>
        </dxf>
        <dxf>
          <font>
            <b val="0"/>
            <i val="0"/>
            <sz val="9"/>
            <color theme="0"/>
            <name val="Calibri"/>
            <family val="2"/>
            <scheme val="minor"/>
          </font>
        </dxf>
        <dxf>
          <font>
            <b val="0"/>
            <i val="0"/>
            <sz val="9"/>
            <color theme="0"/>
            <name val="Calibri"/>
            <family val="2"/>
            <scheme val="minor"/>
          </font>
        </dxf>
        <dxf>
          <font>
            <b val="0"/>
            <i val="0"/>
            <sz val="9"/>
            <color theme="0"/>
            <name val="Calibri"/>
            <family val="2"/>
            <scheme val="minor"/>
          </font>
        </dxf>
        <dxf>
          <font>
            <b val="0"/>
            <i val="0"/>
            <sz val="10"/>
            <color theme="0"/>
            <name val="Calibri"/>
            <family val="2"/>
            <scheme val="minor"/>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11/relationships/timelineCache" Target="timelineCaches/timelineCache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[Fraud Loss Reduction through Fraud Patterns and Behaviour Analysis.xlsm]1.Transaction Category and Type!PivotTable2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'1.Transaction Category and Type'!$B$3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'1.Transaction Category and Type'!$A$4:$A$10</c:f>
              <c:strCache>
                <c:ptCount val="6"/>
                <c:pt idx="0">
                  <c:v>Apparel</c:v>
                </c:pt>
                <c:pt idx="1">
                  <c:v>E-commerce</c:v>
                </c:pt>
                <c:pt idx="2">
                  <c:v>Electronics</c:v>
                </c:pt>
                <c:pt idx="3">
                  <c:v>Food Delivery</c:v>
                </c:pt>
                <c:pt idx="4">
                  <c:v>Groceries</c:v>
                </c:pt>
                <c:pt idx="5">
                  <c:v>Transportation</c:v>
                </c:pt>
              </c:strCache>
            </c:strRef>
          </c:cat>
          <c:val>
            <c:numRef>
              <c:f>'1.Transaction Category and Type'!$B$4:$B$10</c:f>
              <c:numCache>
                <c:formatCode>"₹"\ #.00,,\M</c:formatCode>
                <c:ptCount val="6"/>
                <c:pt idx="0">
                  <c:v>2014873</c:v>
                </c:pt>
                <c:pt idx="1">
                  <c:v>2125395</c:v>
                </c:pt>
                <c:pt idx="2">
                  <c:v>1993079</c:v>
                </c:pt>
                <c:pt idx="3">
                  <c:v>1804118</c:v>
                </c:pt>
                <c:pt idx="4">
                  <c:v>1877974</c:v>
                </c:pt>
                <c:pt idx="5">
                  <c:v>2411404</c:v>
                </c:pt>
              </c:numCache>
            </c:numRef>
          </c:val>
          <c:extLst>
            <c:ext xmlns:c16="http://schemas.microsoft.com/office/drawing/2014/chart" uri="{C3380CC4-5D6E-409C-BE32-E72D297353CC}">
              <c16:uniqueId val="{00000000-3B4A-4BA3-81BA-856E3E727CE8}"/>
            </c:ext>
          </c:extLst>
        </c:ser>
        <c:dLbls>
          <c:dLblPos val="ctr"/>
          <c:showLegendKey val="0"/>
          <c:showVal val="1"/>
          <c:showCatName val="0"/>
          <c:showSerName val="0"/>
          <c:showPercent val="0"/>
          <c:showBubbleSize val="0"/>
        </c:dLbls>
        <c:gapWidth val="150"/>
        <c:overlap val="100"/>
        <c:axId val="1567839935"/>
        <c:axId val="1567836575"/>
      </c:barChart>
      <c:catAx>
        <c:axId val="1567839935"/>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bg1"/>
                    </a:solidFill>
                    <a:latin typeface="+mn-lt"/>
                    <a:ea typeface="+mn-ea"/>
                    <a:cs typeface="+mn-cs"/>
                  </a:defRPr>
                </a:pPr>
                <a:r>
                  <a:rPr lang="en-US">
                    <a:solidFill>
                      <a:schemeClr val="bg1"/>
                    </a:solidFill>
                  </a:rPr>
                  <a:t>Fraud types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67836575"/>
        <c:crosses val="autoZero"/>
        <c:auto val="1"/>
        <c:lblAlgn val="ctr"/>
        <c:lblOffset val="100"/>
        <c:noMultiLvlLbl val="0"/>
      </c:catAx>
      <c:valAx>
        <c:axId val="1567836575"/>
        <c:scaling>
          <c:orientation val="minMax"/>
        </c:scaling>
        <c:delete val="1"/>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bg1"/>
                    </a:solidFill>
                    <a:latin typeface="+mn-lt"/>
                    <a:ea typeface="+mn-ea"/>
                    <a:cs typeface="+mn-cs"/>
                  </a:defRPr>
                </a:pPr>
                <a:r>
                  <a:rPr lang="en-US">
                    <a:solidFill>
                      <a:schemeClr val="bg1"/>
                    </a:solidFill>
                  </a:rPr>
                  <a:t>transaction amount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bg1"/>
                  </a:solidFill>
                  <a:latin typeface="+mn-lt"/>
                  <a:ea typeface="+mn-ea"/>
                  <a:cs typeface="+mn-cs"/>
                </a:defRPr>
              </a:pPr>
              <a:endParaRPr lang="en-US"/>
            </a:p>
          </c:txPr>
        </c:title>
        <c:numFmt formatCode="#,\K" sourceLinked="0"/>
        <c:majorTickMark val="none"/>
        <c:minorTickMark val="none"/>
        <c:tickLblPos val="nextTo"/>
        <c:crossAx val="156783993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[Fraud Loss Reduction through Fraud Patterns and Behaviour Analysis.xlsm]2. Fraud Risk in %!PivotTable3</c:name>
    <c:fmtId val="0"/>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a:solidFill>
                  <a:schemeClr val="bg1"/>
                </a:solidFill>
              </a:rPr>
              <a:t>FRAUD</a:t>
            </a:r>
            <a:r>
              <a:rPr lang="en-US" baseline="0">
                <a:solidFill>
                  <a:schemeClr val="bg1"/>
                </a:solidFill>
              </a:rPr>
              <a:t> RISK IN %</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0.1288445552784705"/>
              <c:y val="-0.11337868480725628"/>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0.2105876833685574"/>
              <c:y val="-0.1360544217687075"/>
            </c:manualLayout>
          </c:layout>
          <c:tx>
            <c:rich>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fld id="{1AF77E44-CE8D-4DA7-9301-460846F2C1E3}" type="CATEGORYNAME">
                  <a:rPr lang="en-US">
                    <a:solidFill>
                      <a:schemeClr val="tx1"/>
                    </a:solidFill>
                  </a:rPr>
                  <a:pPr>
                    <a:defRPr sz="700">
                      <a:solidFill>
                        <a:schemeClr val="tx1"/>
                      </a:solidFill>
                    </a:defRPr>
                  </a:pPr>
                  <a:t>[CATEGORY NAME]</a:t>
                </a:fld>
                <a:r>
                  <a:rPr lang="en-US" baseline="0">
                    <a:solidFill>
                      <a:schemeClr val="tx1"/>
                    </a:solidFill>
                  </a:rPr>
                  <a:t>
</a:t>
                </a:r>
                <a:fld id="{878FA30C-7C08-4834-A673-B3128740A94C}" type="PERCENTAGE">
                  <a:rPr lang="en-US" baseline="0">
                    <a:solidFill>
                      <a:schemeClr val="tx1"/>
                    </a:solidFill>
                  </a:rPr>
                  <a:pPr>
                    <a:defRPr sz="700">
                      <a:solidFill>
                        <a:schemeClr val="tx1"/>
                      </a:solidFill>
                    </a:defRPr>
                  </a:pPr>
                  <a:t>[PERCENTAGE]</a:t>
                </a:fld>
                <a:endParaRPr lang="en-US" baseline="0">
                  <a:solidFill>
                    <a:schemeClr val="tx1"/>
                  </a:solidFill>
                </a:endParaRPr>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6722792755643698"/>
                  <c:h val="0.10925170068027211"/>
                </c:manualLayout>
              </c15:layout>
              <c15:dlblFieldTable/>
              <c15:showDataLabelsRange val="0"/>
            </c:ext>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0.17119718704995604"/>
              <c:y val="4.0816326530612158E-2"/>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549459684123026"/>
                  <c:h val="0.10925170068027211"/>
                </c:manualLayout>
              </c15:layout>
            </c:ext>
          </c:extLst>
        </c:dLbl>
      </c:pivotFmt>
      <c:pivotFmt>
        <c:idx val="5"/>
        <c:spPr>
          <a:solidFill>
            <a:schemeClr val="accent1"/>
          </a:solidFill>
          <a:ln>
            <a:noFill/>
          </a:ln>
          <a:effectLst>
            <a:outerShdw blurRad="254000" sx="102000" sy="102000" algn="ctr" rotWithShape="0">
              <a:prstClr val="black">
                <a:alpha val="20000"/>
              </a:prstClr>
            </a:outerShdw>
          </a:effectLst>
        </c:spPr>
        <c:dLbl>
          <c:idx val="0"/>
          <c:layout>
            <c:manualLayout>
              <c:x val="0.33250207813798821"/>
              <c:y val="6.3492063492063489E-2"/>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021612635078968"/>
                  <c:h val="0.11832199546485261"/>
                </c:manualLayout>
              </c15:layout>
            </c:ext>
          </c:extLst>
        </c:dLbl>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dLbl>
          <c:idx val="0"/>
          <c:layout>
            <c:manualLayout>
              <c:x val="-9.5011876484560609E-2"/>
              <c:y val="0.1224489795918367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dLbl>
          <c:idx val="0"/>
          <c:layout>
            <c:manualLayout>
              <c:x val="-1.583531274742676E-2"/>
              <c:y val="-4.5351473922902535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dLbl>
          <c:idx val="0"/>
          <c:layout>
            <c:manualLayout>
              <c:x val="2.7711797307996833E-2"/>
              <c:y val="-7.709750566893423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7199848148657229"/>
          <c:y val="0.28489938757655292"/>
          <c:w val="0.59781550061853239"/>
          <c:h val="0.65231024693341899"/>
        </c:manualLayout>
      </c:layout>
      <c:doughnutChart>
        <c:varyColors val="1"/>
        <c:ser>
          <c:idx val="0"/>
          <c:order val="0"/>
          <c:tx>
            <c:strRef>
              <c:f>'2. Fraud Risk in %'!$B$3</c:f>
              <c:strCache>
                <c:ptCount val="1"/>
                <c:pt idx="0">
                  <c:v>Sum of Transaction Amount (INR)</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9054-44E5-BB63-F39A1796DFF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054-44E5-BB63-F39A1796DFF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9054-44E5-BB63-F39A1796DFF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054-44E5-BB63-F39A1796DFFC}"/>
              </c:ext>
            </c:extLst>
          </c:dPt>
          <c:dLbls>
            <c:dLbl>
              <c:idx val="0"/>
              <c:layout>
                <c:manualLayout>
                  <c:x val="0.2105876833685574"/>
                  <c:y val="-0.1360544217687075"/>
                </c:manualLayout>
              </c:layout>
              <c:tx>
                <c:rich>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fld id="{1AF77E44-CE8D-4DA7-9301-460846F2C1E3}" type="CATEGORYNAME">
                      <a:rPr lang="en-US">
                        <a:solidFill>
                          <a:schemeClr val="tx1"/>
                        </a:solidFill>
                      </a:rPr>
                      <a:pPr>
                        <a:defRPr sz="700">
                          <a:solidFill>
                            <a:schemeClr val="tx1"/>
                          </a:solidFill>
                        </a:defRPr>
                      </a:pPr>
                      <a:t>[CATEGORY NAME]</a:t>
                    </a:fld>
                    <a:r>
                      <a:rPr lang="en-US" baseline="0">
                        <a:solidFill>
                          <a:schemeClr val="tx1"/>
                        </a:solidFill>
                      </a:rPr>
                      <a:t>
</a:t>
                    </a:r>
                    <a:fld id="{878FA30C-7C08-4834-A673-B3128740A94C}" type="PERCENTAGE">
                      <a:rPr lang="en-US" baseline="0">
                        <a:solidFill>
                          <a:schemeClr val="tx1"/>
                        </a:solidFill>
                      </a:rPr>
                      <a:pPr>
                        <a:defRPr sz="700">
                          <a:solidFill>
                            <a:schemeClr val="tx1"/>
                          </a:solidFill>
                        </a:defRPr>
                      </a:pPr>
                      <a:t>[PERCENTAGE]</a:t>
                    </a:fld>
                    <a:endParaRPr lang="en-US" baseline="0">
                      <a:solidFill>
                        <a:schemeClr val="tx1"/>
                      </a:solidFill>
                    </a:endParaRPr>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6722792755643698"/>
                      <c:h val="0.10925170068027211"/>
                    </c:manualLayout>
                  </c15:layout>
                  <c15:dlblFieldTable/>
                  <c15:showDataLabelsRange val="0"/>
                </c:ext>
                <c:ext xmlns:c16="http://schemas.microsoft.com/office/drawing/2014/chart" uri="{C3380CC4-5D6E-409C-BE32-E72D297353CC}">
                  <c16:uniqueId val="{00000004-9054-44E5-BB63-F39A1796DFFC}"/>
                </c:ext>
              </c:extLst>
            </c:dLbl>
            <c:dLbl>
              <c:idx val="1"/>
              <c:layout>
                <c:manualLayout>
                  <c:x val="0.17119718704995604"/>
                  <c:y val="4.0816326530612158E-2"/>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549459684123026"/>
                      <c:h val="0.10925170068027211"/>
                    </c:manualLayout>
                  </c15:layout>
                </c:ext>
                <c:ext xmlns:c16="http://schemas.microsoft.com/office/drawing/2014/chart" uri="{C3380CC4-5D6E-409C-BE32-E72D297353CC}">
                  <c16:uniqueId val="{00000005-9054-44E5-BB63-F39A1796DFFC}"/>
                </c:ext>
              </c:extLst>
            </c:dLbl>
            <c:dLbl>
              <c:idx val="2"/>
              <c:layout>
                <c:manualLayout>
                  <c:x val="0.33250207813798821"/>
                  <c:y val="6.3492063492063489E-2"/>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021612635078968"/>
                      <c:h val="0.11832199546485261"/>
                    </c:manualLayout>
                  </c15:layout>
                </c:ext>
                <c:ext xmlns:c16="http://schemas.microsoft.com/office/drawing/2014/chart" uri="{C3380CC4-5D6E-409C-BE32-E72D297353CC}">
                  <c16:uniqueId val="{00000006-9054-44E5-BB63-F39A1796DFFC}"/>
                </c:ext>
              </c:extLst>
            </c:dLbl>
            <c:dLbl>
              <c:idx val="3"/>
              <c:layout>
                <c:manualLayout>
                  <c:x val="-0.1288445552784705"/>
                  <c:y val="-0.11337868480725628"/>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054-44E5-BB63-F39A1796DFFC}"/>
                </c:ext>
              </c:extLst>
            </c:dLbl>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'2. Fraud Risk in %'!$A$4:$A$8</c:f>
              <c:strCache>
                <c:ptCount val="4"/>
                <c:pt idx="0">
                  <c:v>Critical</c:v>
                </c:pt>
                <c:pt idx="1">
                  <c:v>High</c:v>
                </c:pt>
                <c:pt idx="2">
                  <c:v>Low</c:v>
                </c:pt>
                <c:pt idx="3">
                  <c:v>Medium</c:v>
                </c:pt>
              </c:strCache>
            </c:strRef>
          </c:cat>
          <c:val>
            <c:numRef>
              <c:f>'2. Fraud Risk in %'!$B$4:$B$8</c:f>
              <c:numCache>
                <c:formatCode>#\ 0.00,,\M</c:formatCode>
                <c:ptCount val="4"/>
                <c:pt idx="0">
                  <c:v>1326187</c:v>
                </c:pt>
                <c:pt idx="1">
                  <c:v>2300042</c:v>
                </c:pt>
                <c:pt idx="2">
                  <c:v>5186210</c:v>
                </c:pt>
                <c:pt idx="3">
                  <c:v>3414404</c:v>
                </c:pt>
              </c:numCache>
            </c:numRef>
          </c:val>
          <c:extLst>
            <c:ext xmlns:c16="http://schemas.microsoft.com/office/drawing/2014/chart" uri="{C3380CC4-5D6E-409C-BE32-E72D297353CC}">
              <c16:uniqueId val="{00000002-9054-44E5-BB63-F39A1796DFFC}"/>
            </c:ext>
          </c:extLst>
        </c:ser>
        <c:ser>
          <c:idx val="1"/>
          <c:order val="1"/>
          <c:tx>
            <c:strRef>
              <c:f>'2. Fraud Risk in %'!$C$3</c:f>
              <c:strCache>
                <c:ptCount val="1"/>
                <c:pt idx="0">
                  <c:v>Sum of Fraud Score</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1CA4-4B60-9CBF-B2F351117C0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1CA4-4B60-9CBF-B2F351117C0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E350-4A63-9A91-B55EF4563C1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1CA4-4B60-9CBF-B2F351117C01}"/>
              </c:ext>
            </c:extLst>
          </c:dPt>
          <c:dLbls>
            <c:dLbl>
              <c:idx val="0"/>
              <c:layout>
                <c:manualLayout>
                  <c:x val="-1.583531274742676E-2"/>
                  <c:y val="-4.53514739229025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CA4-4B60-9CBF-B2F351117C01}"/>
                </c:ext>
              </c:extLst>
            </c:dLbl>
            <c:dLbl>
              <c:idx val="1"/>
              <c:layout>
                <c:manualLayout>
                  <c:x val="2.7711797307996833E-2"/>
                  <c:y val="-7.70975056689342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CA4-4B60-9CBF-B2F351117C01}"/>
                </c:ext>
              </c:extLst>
            </c:dLbl>
            <c:dLbl>
              <c:idx val="3"/>
              <c:layout>
                <c:manualLayout>
                  <c:x val="-9.5011876484560609E-2"/>
                  <c:y val="0.1224489795918367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CA4-4B60-9CBF-B2F351117C01}"/>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'2. Fraud Risk in %'!$A$4:$A$8</c:f>
              <c:strCache>
                <c:ptCount val="4"/>
                <c:pt idx="0">
                  <c:v>Critical</c:v>
                </c:pt>
                <c:pt idx="1">
                  <c:v>High</c:v>
                </c:pt>
                <c:pt idx="2">
                  <c:v>Low</c:v>
                </c:pt>
                <c:pt idx="3">
                  <c:v>Medium</c:v>
                </c:pt>
              </c:strCache>
            </c:strRef>
          </c:cat>
          <c:val>
            <c:numRef>
              <c:f>'2. Fraud Risk in %'!$C$4:$C$8</c:f>
              <c:numCache>
                <c:formatCode>General</c:formatCode>
                <c:ptCount val="4"/>
                <c:pt idx="0">
                  <c:v>5789</c:v>
                </c:pt>
                <c:pt idx="1">
                  <c:v>10473</c:v>
                </c:pt>
                <c:pt idx="2">
                  <c:v>21451</c:v>
                </c:pt>
                <c:pt idx="3">
                  <c:v>15466</c:v>
                </c:pt>
              </c:numCache>
            </c:numRef>
          </c:val>
          <c:extLst>
            <c:ext xmlns:c16="http://schemas.microsoft.com/office/drawing/2014/chart" uri="{C3380CC4-5D6E-409C-BE32-E72D297353CC}">
              <c16:uniqueId val="{00000008-1CA4-4B60-9CBF-B2F351117C01}"/>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75000"/>
        <a:lumOff val="2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[Fraud Loss Reduction through Fraud Patterns and Behaviour Analysis.xlsm]3. State Wise Total Transaction!PivotTable4</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Number</a:t>
            </a:r>
            <a:r>
              <a:rPr lang="en-US" baseline="0"/>
              <a:t> of Frauds per State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340332458442697E-2"/>
          <c:y val="0.18763888888888891"/>
          <c:w val="0.89477077865266841"/>
          <c:h val="0.49783683289588804"/>
        </c:manualLayout>
      </c:layout>
      <c:barChart>
        <c:barDir val="col"/>
        <c:grouping val="clustered"/>
        <c:varyColors val="0"/>
        <c:ser>
          <c:idx val="0"/>
          <c:order val="0"/>
          <c:tx>
            <c:strRef>
              <c:f>'3. State Wise Total Transaction'!$B$3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'3. State Wise Total Transaction'!$A$4:$A$14</c:f>
              <c:strCache>
                <c:ptCount val="10"/>
                <c:pt idx="0">
                  <c:v>Maharashtra</c:v>
                </c:pt>
                <c:pt idx="1">
                  <c:v>Karnataka</c:v>
                </c:pt>
                <c:pt idx="2">
                  <c:v>Rajasthan</c:v>
                </c:pt>
                <c:pt idx="3">
                  <c:v>West Bengal</c:v>
                </c:pt>
                <c:pt idx="4">
                  <c:v>Uttar Pradesh</c:v>
                </c:pt>
                <c:pt idx="5">
                  <c:v>Tamil Nadu</c:v>
                </c:pt>
                <c:pt idx="6">
                  <c:v>Telangana</c:v>
                </c:pt>
                <c:pt idx="7">
                  <c:v>Gujarat</c:v>
                </c:pt>
                <c:pt idx="8">
                  <c:v>Kerala</c:v>
                </c:pt>
                <c:pt idx="9">
                  <c:v>Delhi</c:v>
                </c:pt>
              </c:strCache>
            </c:strRef>
          </c:cat>
          <c:val>
            <c:numRef>
              <c:f>'3. State Wise Total Transaction'!$B$4:$B$14</c:f>
              <c:numCache>
                <c:formatCode>General</c:formatCode>
                <c:ptCount val="10"/>
                <c:pt idx="0">
                  <c:v>36</c:v>
                </c:pt>
                <c:pt idx="1">
                  <c:v>34</c:v>
                </c:pt>
                <c:pt idx="2">
                  <c:v>34</c:v>
                </c:pt>
                <c:pt idx="3">
                  <c:v>33</c:v>
                </c:pt>
                <c:pt idx="4">
                  <c:v>29</c:v>
                </c:pt>
                <c:pt idx="5">
                  <c:v>28</c:v>
                </c:pt>
                <c:pt idx="6">
                  <c:v>27</c:v>
                </c:pt>
                <c:pt idx="7">
                  <c:v>23</c:v>
                </c:pt>
                <c:pt idx="8">
                  <c:v>21</c:v>
                </c:pt>
                <c:pt idx="9">
                  <c:v>21</c:v>
                </c:pt>
              </c:numCache>
            </c:numRef>
          </c:val>
          <c:extLst>
            <c:ext xmlns:c16="http://schemas.microsoft.com/office/drawing/2014/chart" uri="{C3380CC4-5D6E-409C-BE32-E72D297353CC}">
              <c16:uniqueId val="{00000000-B394-479D-B682-62709B5F8739}"/>
            </c:ext>
          </c:extLst>
        </c:ser>
        <c:dLbls>
          <c:dLblPos val="inEnd"/>
          <c:showLegendKey val="0"/>
          <c:showVal val="1"/>
          <c:showCatName val="0"/>
          <c:showSerName val="0"/>
          <c:showPercent val="0"/>
          <c:showBubbleSize val="0"/>
        </c:dLbls>
        <c:gapWidth val="100"/>
        <c:overlap val="-24"/>
        <c:axId val="1686390287"/>
        <c:axId val="1686391247"/>
      </c:barChart>
      <c:catAx>
        <c:axId val="16863902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6391247"/>
        <c:crosses val="autoZero"/>
        <c:auto val="1"/>
        <c:lblAlgn val="ctr"/>
        <c:lblOffset val="100"/>
        <c:noMultiLvlLbl val="0"/>
      </c:catAx>
      <c:valAx>
        <c:axId val="16863912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6390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[Fraud Loss Reduction through Fraud Patterns and Behaviour Analysis.xlsm]4. Fraudlent Transaction Months!PivotTable5</c:name>
    <c:fmtId val="2"/>
  </c:pivotSource>
  <c:chart>
    <c:title>
      <c:tx>
        <c:rich>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r>
              <a:rPr lang="en-US"/>
              <a:t>Fraudlent Transaction per Month</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endParaRPr lang="en-US"/>
        </a:p>
      </c:txPr>
    </c:title>
    <c:autoTitleDeleted val="0"/>
    <c:pivotFmts>
      <c:pivotFmt>
        <c:idx val="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2.0370135052831988E-16"/>
              <c:y val="-0.393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1.0185067526415994E-16"/>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2.7777777777777779E-3"/>
              <c:y val="-0.171296296296296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0"/>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2.777777777777676E-3"/>
              <c:y val="-0.2986109288422281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2000000000000003E-2"/>
                  <c:h val="7.8634441528142307E-2"/>
                </c:manualLayout>
              </c15:layout>
            </c:ext>
          </c:extLst>
        </c:dLbl>
      </c:pivotFmt>
      <c:pivotFmt>
        <c:idx val="6"/>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0"/>
              <c:y val="-0.14351851851851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5.0925337632079971E-17"/>
              <c:y val="-7.8703703703703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0"/>
              <c:y val="-0.106481481481481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1.1111111111111136E-2"/>
              <c:y val="-0.11111111111111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2.7777777777777267E-3"/>
              <c:y val="-0.17592592592592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2.7777777777778286E-3"/>
              <c:y val="-0.277777777777777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541557305336835E-2"/>
          <c:y val="0.17736111111111111"/>
          <c:w val="0.85870844269466318"/>
          <c:h val="0.71523950131233593"/>
        </c:manualLayout>
      </c:layout>
      <c:areaChart>
        <c:grouping val="standard"/>
        <c:varyColors val="0"/>
        <c:ser>
          <c:idx val="0"/>
          <c:order val="0"/>
          <c:tx>
            <c:strRef>
              <c:f>'4. Fraudlent Transaction Months'!$B$3</c:f>
              <c:strCache>
                <c:ptCount val="1"/>
                <c:pt idx="0">
                  <c:v>Total</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Pt>
            <c:idx val="1"/>
            <c:bubble3D val="0"/>
            <c:extLst>
              <c:ext xmlns:c16="http://schemas.microsoft.com/office/drawing/2014/chart" uri="{C3380CC4-5D6E-409C-BE32-E72D297353CC}">
                <c16:uniqueId val="{0000000A-3E8F-4885-9A3D-DE5612340FC1}"/>
              </c:ext>
            </c:extLst>
          </c:dPt>
          <c:dPt>
            <c:idx val="2"/>
            <c:bubble3D val="0"/>
            <c:extLst>
              <c:ext xmlns:c16="http://schemas.microsoft.com/office/drawing/2014/chart" uri="{C3380CC4-5D6E-409C-BE32-E72D297353CC}">
                <c16:uniqueId val="{00000009-3E8F-4885-9A3D-DE5612340FC1}"/>
              </c:ext>
            </c:extLst>
          </c:dPt>
          <c:dPt>
            <c:idx val="3"/>
            <c:bubble3D val="0"/>
            <c:extLst>
              <c:ext xmlns:c16="http://schemas.microsoft.com/office/drawing/2014/chart" uri="{C3380CC4-5D6E-409C-BE32-E72D297353CC}">
                <c16:uniqueId val="{0000000B-3E8F-4885-9A3D-DE5612340FC1}"/>
              </c:ext>
            </c:extLst>
          </c:dPt>
          <c:dPt>
            <c:idx val="4"/>
            <c:bubble3D val="0"/>
            <c:extLst>
              <c:ext xmlns:c16="http://schemas.microsoft.com/office/drawing/2014/chart" uri="{C3380CC4-5D6E-409C-BE32-E72D297353CC}">
                <c16:uniqueId val="{00000008-3E8F-4885-9A3D-DE5612340FC1}"/>
              </c:ext>
            </c:extLst>
          </c:dPt>
          <c:dPt>
            <c:idx val="5"/>
            <c:bubble3D val="0"/>
            <c:extLst>
              <c:ext xmlns:c16="http://schemas.microsoft.com/office/drawing/2014/chart" uri="{C3380CC4-5D6E-409C-BE32-E72D297353CC}">
                <c16:uniqueId val="{0000000C-3E8F-4885-9A3D-DE5612340FC1}"/>
              </c:ext>
            </c:extLst>
          </c:dPt>
          <c:dPt>
            <c:idx val="6"/>
            <c:bubble3D val="0"/>
            <c:extLst>
              <c:ext xmlns:c16="http://schemas.microsoft.com/office/drawing/2014/chart" uri="{C3380CC4-5D6E-409C-BE32-E72D297353CC}">
                <c16:uniqueId val="{00000007-3E8F-4885-9A3D-DE5612340FC1}"/>
              </c:ext>
            </c:extLst>
          </c:dPt>
          <c:dPt>
            <c:idx val="7"/>
            <c:bubble3D val="0"/>
            <c:extLst>
              <c:ext xmlns:c16="http://schemas.microsoft.com/office/drawing/2014/chart" uri="{C3380CC4-5D6E-409C-BE32-E72D297353CC}">
                <c16:uniqueId val="{00000006-3E8F-4885-9A3D-DE5612340FC1}"/>
              </c:ext>
            </c:extLst>
          </c:dPt>
          <c:dPt>
            <c:idx val="8"/>
            <c:bubble3D val="0"/>
            <c:extLst>
              <c:ext xmlns:c16="http://schemas.microsoft.com/office/drawing/2014/chart" uri="{C3380CC4-5D6E-409C-BE32-E72D297353CC}">
                <c16:uniqueId val="{00000005-3E8F-4885-9A3D-DE5612340FC1}"/>
              </c:ext>
            </c:extLst>
          </c:dPt>
          <c:dPt>
            <c:idx val="9"/>
            <c:bubble3D val="0"/>
            <c:extLst>
              <c:ext xmlns:c16="http://schemas.microsoft.com/office/drawing/2014/chart" uri="{C3380CC4-5D6E-409C-BE32-E72D297353CC}">
                <c16:uniqueId val="{00000004-3E8F-4885-9A3D-DE5612340FC1}"/>
              </c:ext>
            </c:extLst>
          </c:dPt>
          <c:dPt>
            <c:idx val="10"/>
            <c:bubble3D val="0"/>
            <c:extLst>
              <c:ext xmlns:c16="http://schemas.microsoft.com/office/drawing/2014/chart" uri="{C3380CC4-5D6E-409C-BE32-E72D297353CC}">
                <c16:uniqueId val="{00000003-3E8F-4885-9A3D-DE5612340FC1}"/>
              </c:ext>
            </c:extLst>
          </c:dPt>
          <c:dPt>
            <c:idx val="11"/>
            <c:bubble3D val="0"/>
            <c:extLst>
              <c:ext xmlns:c16="http://schemas.microsoft.com/office/drawing/2014/chart" uri="{C3380CC4-5D6E-409C-BE32-E72D297353CC}">
                <c16:uniqueId val="{00000002-3E8F-4885-9A3D-DE5612340FC1}"/>
              </c:ext>
            </c:extLst>
          </c:dPt>
          <c:dLbls>
            <c:dLbl>
              <c:idx val="1"/>
              <c:layout>
                <c:manualLayout>
                  <c:x val="-1.1111111111111136E-2"/>
                  <c:y val="-0.111111111111111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E8F-4885-9A3D-DE5612340FC1}"/>
                </c:ext>
              </c:extLst>
            </c:dLbl>
            <c:dLbl>
              <c:idx val="2"/>
              <c:layout>
                <c:manualLayout>
                  <c:x val="0"/>
                  <c:y val="-0.106481481481481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E8F-4885-9A3D-DE5612340FC1}"/>
                </c:ext>
              </c:extLst>
            </c:dLbl>
            <c:dLbl>
              <c:idx val="3"/>
              <c:layout>
                <c:manualLayout>
                  <c:x val="2.7777777777777267E-3"/>
                  <c:y val="-0.1759259259259259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E8F-4885-9A3D-DE5612340FC1}"/>
                </c:ext>
              </c:extLst>
            </c:dLbl>
            <c:dLbl>
              <c:idx val="4"/>
              <c:layout>
                <c:manualLayout>
                  <c:x val="-5.0925337632079971E-17"/>
                  <c:y val="-7.8703703703703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E8F-4885-9A3D-DE5612340FC1}"/>
                </c:ext>
              </c:extLst>
            </c:dLbl>
            <c:dLbl>
              <c:idx val="5"/>
              <c:layout>
                <c:manualLayout>
                  <c:x val="-2.7777777777778286E-3"/>
                  <c:y val="-0.277777777777777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E8F-4885-9A3D-DE5612340FC1}"/>
                </c:ext>
              </c:extLst>
            </c:dLbl>
            <c:dLbl>
              <c:idx val="6"/>
              <c:layout>
                <c:manualLayout>
                  <c:x val="0"/>
                  <c:y val="-0.143518518518518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E8F-4885-9A3D-DE5612340FC1}"/>
                </c:ext>
              </c:extLst>
            </c:dLbl>
            <c:dLbl>
              <c:idx val="7"/>
              <c:layout>
                <c:manualLayout>
                  <c:x val="2.777777777777676E-3"/>
                  <c:y val="-0.2986109288422281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2000000000000003E-2"/>
                      <c:h val="7.8634441528142307E-2"/>
                    </c:manualLayout>
                  </c15:layout>
                </c:ext>
                <c:ext xmlns:c16="http://schemas.microsoft.com/office/drawing/2014/chart" uri="{C3380CC4-5D6E-409C-BE32-E72D297353CC}">
                  <c16:uniqueId val="{00000006-3E8F-4885-9A3D-DE5612340FC1}"/>
                </c:ext>
              </c:extLst>
            </c:dLbl>
            <c:dLbl>
              <c:idx val="8"/>
              <c:layout>
                <c:manualLayout>
                  <c:x val="0"/>
                  <c:y val="-5.09259259259259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E8F-4885-9A3D-DE5612340FC1}"/>
                </c:ext>
              </c:extLst>
            </c:dLbl>
            <c:dLbl>
              <c:idx val="9"/>
              <c:layout>
                <c:manualLayout>
                  <c:x val="2.7777777777777779E-3"/>
                  <c:y val="-0.171296296296296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E8F-4885-9A3D-DE5612340FC1}"/>
                </c:ext>
              </c:extLst>
            </c:dLbl>
            <c:dLbl>
              <c:idx val="10"/>
              <c:layout>
                <c:manualLayout>
                  <c:x val="-1.0185067526415994E-16"/>
                  <c:y val="-5.09259259259259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E8F-4885-9A3D-DE5612340FC1}"/>
                </c:ext>
              </c:extLst>
            </c:dLbl>
            <c:dLbl>
              <c:idx val="11"/>
              <c:layout>
                <c:manualLayout>
                  <c:x val="-2.0370135052831988E-16"/>
                  <c:y val="-0.393518518518518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E8F-4885-9A3D-DE5612340FC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'4. Fraudlent Transaction Months'!$A$4:$A$16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'4. Fraudlent Transaction Months'!$B$4:$B$16</c:f>
              <c:numCache>
                <c:formatCode>General</c:formatCode>
                <c:ptCount val="12"/>
                <c:pt idx="0">
                  <c:v>17</c:v>
                </c:pt>
                <c:pt idx="1">
                  <c:v>18</c:v>
                </c:pt>
                <c:pt idx="2">
                  <c:v>26</c:v>
                </c:pt>
                <c:pt idx="3">
                  <c:v>22</c:v>
                </c:pt>
                <c:pt idx="4">
                  <c:v>22</c:v>
                </c:pt>
                <c:pt idx="5">
                  <c:v>28</c:v>
                </c:pt>
                <c:pt idx="6">
                  <c:v>26</c:v>
                </c:pt>
                <c:pt idx="7">
                  <c:v>29</c:v>
                </c:pt>
                <c:pt idx="8">
                  <c:v>21</c:v>
                </c:pt>
                <c:pt idx="9">
                  <c:v>22</c:v>
                </c:pt>
                <c:pt idx="10">
                  <c:v>21</c:v>
                </c:pt>
                <c:pt idx="11">
                  <c:v>34</c:v>
                </c:pt>
              </c:numCache>
            </c:numRef>
          </c:val>
          <c:extLst>
            <c:ext xmlns:c16="http://schemas.microsoft.com/office/drawing/2014/chart" uri="{C3380CC4-5D6E-409C-BE32-E72D297353CC}">
              <c16:uniqueId val="{00000000-3E8F-4885-9A3D-DE5612340FC1}"/>
            </c:ext>
          </c:extLst>
        </c:ser>
        <c:dLbls>
          <c:showLegendKey val="0"/>
          <c:showVal val="1"/>
          <c:showCatName val="0"/>
          <c:showSerName val="0"/>
          <c:showPercent val="0"/>
          <c:showBubbleSize val="0"/>
        </c:dLbls>
        <c:dropLines>
          <c:spPr>
            <a:ln w="9525" cap="flat" cmpd="sng" algn="ctr">
              <a:solidFill>
                <a:schemeClr val="lt1">
                  <a:alpha val="40000"/>
                </a:schemeClr>
              </a:solidFill>
              <a:round/>
            </a:ln>
            <a:effectLst/>
          </c:spPr>
        </c:dropLines>
        <c:axId val="1569363839"/>
        <c:axId val="1569362399"/>
      </c:areaChart>
      <c:catAx>
        <c:axId val="1569363839"/>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1569362399"/>
        <c:crosses val="autoZero"/>
        <c:auto val="1"/>
        <c:lblAlgn val="ctr"/>
        <c:lblOffset val="100"/>
        <c:noMultiLvlLbl val="0"/>
      </c:catAx>
      <c:valAx>
        <c:axId val="1569362399"/>
        <c:scaling>
          <c:orientation val="minMax"/>
          <c:min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693638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[Fraud Loss Reduction through Fraud Patterns and Behaviour Analysis.xlsm]1.Transaction Category and Type!PivotTable2</c:name>
    <c:fmtId val="1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1672268970155098"/>
          <c:y val="4.2789422195701504E-2"/>
          <c:w val="0.74611483179256688"/>
          <c:h val="0.8732227783912675"/>
        </c:manualLayout>
      </c:layout>
      <c:barChart>
        <c:barDir val="bar"/>
        <c:grouping val="stacked"/>
        <c:varyColors val="0"/>
        <c:ser>
          <c:idx val="0"/>
          <c:order val="0"/>
          <c:tx>
            <c:strRef>
              <c:f>'1.Transaction Category and Type'!$B$3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'1.Transaction Category and Type'!$A$4:$A$10</c:f>
              <c:strCache>
                <c:ptCount val="6"/>
                <c:pt idx="0">
                  <c:v>Apparel</c:v>
                </c:pt>
                <c:pt idx="1">
                  <c:v>E-commerce</c:v>
                </c:pt>
                <c:pt idx="2">
                  <c:v>Electronics</c:v>
                </c:pt>
                <c:pt idx="3">
                  <c:v>Food Delivery</c:v>
                </c:pt>
                <c:pt idx="4">
                  <c:v>Groceries</c:v>
                </c:pt>
                <c:pt idx="5">
                  <c:v>Transportation</c:v>
                </c:pt>
              </c:strCache>
            </c:strRef>
          </c:cat>
          <c:val>
            <c:numRef>
              <c:f>'1.Transaction Category and Type'!$B$4:$B$10</c:f>
              <c:numCache>
                <c:formatCode>"₹"\ #.00,,\M</c:formatCode>
                <c:ptCount val="6"/>
                <c:pt idx="0">
                  <c:v>2014873</c:v>
                </c:pt>
                <c:pt idx="1">
                  <c:v>2125395</c:v>
                </c:pt>
                <c:pt idx="2">
                  <c:v>1993079</c:v>
                </c:pt>
                <c:pt idx="3">
                  <c:v>1804118</c:v>
                </c:pt>
                <c:pt idx="4">
                  <c:v>1877974</c:v>
                </c:pt>
                <c:pt idx="5">
                  <c:v>2411404</c:v>
                </c:pt>
              </c:numCache>
            </c:numRef>
          </c:val>
          <c:extLst>
            <c:ext xmlns:c16="http://schemas.microsoft.com/office/drawing/2014/chart" uri="{C3380CC4-5D6E-409C-BE32-E72D297353CC}">
              <c16:uniqueId val="{00000000-B5CC-4515-B6AA-E2E0ECD0051E}"/>
            </c:ext>
          </c:extLst>
        </c:ser>
        <c:dLbls>
          <c:dLblPos val="ctr"/>
          <c:showLegendKey val="0"/>
          <c:showVal val="1"/>
          <c:showCatName val="0"/>
          <c:showSerName val="0"/>
          <c:showPercent val="0"/>
          <c:showBubbleSize val="0"/>
        </c:dLbls>
        <c:gapWidth val="150"/>
        <c:overlap val="100"/>
        <c:axId val="1567839935"/>
        <c:axId val="1567836575"/>
      </c:barChart>
      <c:catAx>
        <c:axId val="156783993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1567836575"/>
        <c:crosses val="autoZero"/>
        <c:auto val="1"/>
        <c:lblAlgn val="ctr"/>
        <c:lblOffset val="100"/>
        <c:noMultiLvlLbl val="0"/>
      </c:catAx>
      <c:valAx>
        <c:axId val="1567836575"/>
        <c:scaling>
          <c:orientation val="minMax"/>
          <c:max val="3000000"/>
        </c:scaling>
        <c:delete val="1"/>
        <c:axPos val="b"/>
        <c:majorGridlines>
          <c:spPr>
            <a:ln w="9525" cap="flat" cmpd="sng" algn="ctr">
              <a:solidFill>
                <a:schemeClr val="lt1">
                  <a:lumMod val="95000"/>
                  <a:alpha val="10000"/>
                </a:schemeClr>
              </a:solidFill>
              <a:round/>
            </a:ln>
            <a:effectLst/>
          </c:spPr>
        </c:majorGridlines>
        <c:numFmt formatCode="#,\K" sourceLinked="0"/>
        <c:majorTickMark val="none"/>
        <c:minorTickMark val="none"/>
        <c:tickLblPos val="nextTo"/>
        <c:crossAx val="1567839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[Fraud Loss Reduction through Fraud Patterns and Behaviour Analysis.xlsm]2. Fraud Risk in %!PivotTable3</c:name>
    <c:fmtId val="15"/>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a:solidFill>
                  <a:schemeClr val="bg1"/>
                </a:solidFill>
              </a:rPr>
              <a:t>FRAUD</a:t>
            </a:r>
            <a:r>
              <a:rPr lang="en-US" baseline="0">
                <a:solidFill>
                  <a:schemeClr val="bg1"/>
                </a:solidFill>
              </a:rPr>
              <a:t> RISK IN %</a:t>
            </a:r>
            <a:endParaRPr lang="en-US">
              <a:solidFill>
                <a:schemeClr val="bg1"/>
              </a:solidFill>
            </a:endParaRPr>
          </a:p>
        </c:rich>
      </c:tx>
      <c:layout>
        <c:manualLayout>
          <c:xMode val="edge"/>
          <c:yMode val="edge"/>
          <c:x val="0.21018644396970285"/>
          <c:y val="1.619049197423289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0.1288445552784705"/>
              <c:y val="-0.11337868480725628"/>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0.18287597934298105"/>
              <c:y val="-0.15419501133786848"/>
            </c:manualLayout>
          </c:layout>
          <c:tx>
            <c:rich>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fld id="{1AF77E44-CE8D-4DA7-9301-460846F2C1E3}" type="CATEGORYNAME">
                  <a:rPr lang="en-US">
                    <a:solidFill>
                      <a:schemeClr val="tx1"/>
                    </a:solidFill>
                  </a:rPr>
                  <a:pPr>
                    <a:defRPr sz="700" b="1" i="0" u="none" strike="noStrike" kern="1200" baseline="0">
                      <a:solidFill>
                        <a:schemeClr val="tx1"/>
                      </a:solidFill>
                      <a:latin typeface="+mn-lt"/>
                      <a:ea typeface="+mn-ea"/>
                      <a:cs typeface="+mn-cs"/>
                    </a:defRPr>
                  </a:pPr>
                  <a:t>[CATEGORY NAME]</a:t>
                </a:fld>
                <a:r>
                  <a:rPr lang="en-US" baseline="0">
                    <a:solidFill>
                      <a:schemeClr val="tx1"/>
                    </a:solidFill>
                  </a:rPr>
                  <a:t>
</a:t>
                </a:r>
                <a:fld id="{878FA30C-7C08-4834-A673-B3128740A94C}" type="PERCENTAGE">
                  <a:rPr lang="en-US" baseline="0">
                    <a:solidFill>
                      <a:schemeClr val="tx1"/>
                    </a:solidFill>
                  </a:rPr>
                  <a:pPr>
                    <a:defRPr sz="700" b="1" i="0" u="none" strike="noStrike" kern="1200" baseline="0">
                      <a:solidFill>
                        <a:schemeClr val="tx1"/>
                      </a:solidFill>
                      <a:latin typeface="+mn-lt"/>
                      <a:ea typeface="+mn-ea"/>
                      <a:cs typeface="+mn-cs"/>
                    </a:defRPr>
                  </a:pPr>
                  <a:t>[PERCENTAGE]</a:t>
                </a:fld>
                <a:endParaRPr lang="en-US" baseline="0">
                  <a:solidFill>
                    <a:schemeClr val="tx1"/>
                  </a:solidFill>
                </a:endParaRPr>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6722792755643698"/>
                  <c:h val="0.10925170068027211"/>
                </c:manualLayout>
              </c15:layout>
              <c15:dlblFieldTable/>
              <c15:showDataLabelsRange val="0"/>
            </c:ext>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0.18703241895261846"/>
              <c:y val="-4.5351473922902494E-2"/>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549459684123026"/>
                  <c:h val="0.10925170068027211"/>
                </c:manualLayout>
              </c15:layout>
            </c:ext>
          </c:extLst>
        </c:dLbl>
      </c:pivotFmt>
      <c:pivotFmt>
        <c:idx val="5"/>
        <c:spPr>
          <a:solidFill>
            <a:schemeClr val="accent1"/>
          </a:solidFill>
          <a:ln>
            <a:noFill/>
          </a:ln>
          <a:effectLst>
            <a:outerShdw blurRad="254000" sx="102000" sy="102000" algn="ctr" rotWithShape="0">
              <a:prstClr val="black">
                <a:alpha val="20000"/>
              </a:prstClr>
            </a:outerShdw>
          </a:effectLst>
        </c:spPr>
        <c:dLbl>
          <c:idx val="0"/>
          <c:layout>
            <c:manualLayout>
              <c:x val="0.33250207813798821"/>
              <c:y val="6.3492063492063489E-2"/>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021612635078968"/>
                  <c:h val="0.11832199546485261"/>
                </c:manualLayout>
              </c15:layout>
            </c:ext>
          </c:extLst>
        </c:dLbl>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dLbl>
          <c:idx val="0"/>
          <c:layout>
            <c:manualLayout>
              <c:x val="0.18287597934298105"/>
              <c:y val="-0.15419501133786848"/>
            </c:manualLayout>
          </c:layout>
          <c:tx>
            <c:rich>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fld id="{1AF77E44-CE8D-4DA7-9301-460846F2C1E3}" type="CATEGORYNAME">
                  <a:rPr lang="en-US">
                    <a:solidFill>
                      <a:schemeClr val="tx1"/>
                    </a:solidFill>
                  </a:rPr>
                  <a:pPr>
                    <a:defRPr sz="700" b="1" i="0" u="none" strike="noStrike" kern="1200" baseline="0">
                      <a:solidFill>
                        <a:schemeClr val="tx1"/>
                      </a:solidFill>
                      <a:latin typeface="+mn-lt"/>
                      <a:ea typeface="+mn-ea"/>
                      <a:cs typeface="+mn-cs"/>
                    </a:defRPr>
                  </a:pPr>
                  <a:t>[CATEGORY NAME]</a:t>
                </a:fld>
                <a:r>
                  <a:rPr lang="en-US" baseline="0">
                    <a:solidFill>
                      <a:schemeClr val="tx1"/>
                    </a:solidFill>
                  </a:rPr>
                  <a:t>
</a:t>
                </a:r>
                <a:fld id="{878FA30C-7C08-4834-A673-B3128740A94C}" type="PERCENTAGE">
                  <a:rPr lang="en-US" baseline="0">
                    <a:solidFill>
                      <a:schemeClr val="tx1"/>
                    </a:solidFill>
                  </a:rPr>
                  <a:pPr>
                    <a:defRPr sz="700" b="1" i="0" u="none" strike="noStrike" kern="1200" baseline="0">
                      <a:solidFill>
                        <a:schemeClr val="tx1"/>
                      </a:solidFill>
                      <a:latin typeface="+mn-lt"/>
                      <a:ea typeface="+mn-ea"/>
                      <a:cs typeface="+mn-cs"/>
                    </a:defRPr>
                  </a:pPr>
                  <a:t>[PERCENTAGE]</a:t>
                </a:fld>
                <a:endParaRPr lang="en-US" baseline="0">
                  <a:solidFill>
                    <a:schemeClr val="tx1"/>
                  </a:solidFill>
                </a:endParaRPr>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6722792755643698"/>
                  <c:h val="0.10925170068027211"/>
                </c:manualLayout>
              </c15:layout>
              <c15:dlblFieldTable/>
              <c15:showDataLabelsRange val="0"/>
            </c:ext>
          </c:extLst>
        </c:dLbl>
      </c:pivotFmt>
      <c:pivotFmt>
        <c:idx val="8"/>
        <c:spPr>
          <a:solidFill>
            <a:schemeClr val="accent1"/>
          </a:solidFill>
          <a:ln>
            <a:noFill/>
          </a:ln>
          <a:effectLst>
            <a:outerShdw blurRad="254000" sx="102000" sy="102000" algn="ctr" rotWithShape="0">
              <a:prstClr val="black">
                <a:alpha val="20000"/>
              </a:prstClr>
            </a:outerShdw>
          </a:effectLst>
        </c:spPr>
        <c:dLbl>
          <c:idx val="0"/>
          <c:layout>
            <c:manualLayout>
              <c:x val="0.18703241895261846"/>
              <c:y val="-4.5351473922902494E-2"/>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549459684123026"/>
                  <c:h val="0.10925170068027211"/>
                </c:manualLayout>
              </c15:layout>
            </c:ext>
          </c:extLst>
        </c:dLbl>
      </c:pivotFmt>
      <c:pivotFmt>
        <c:idx val="9"/>
        <c:spPr>
          <a:solidFill>
            <a:schemeClr val="accent1"/>
          </a:solidFill>
          <a:ln>
            <a:noFill/>
          </a:ln>
          <a:effectLst>
            <a:outerShdw blurRad="254000" sx="102000" sy="102000" algn="ctr" rotWithShape="0">
              <a:prstClr val="black">
                <a:alpha val="20000"/>
              </a:prstClr>
            </a:outerShdw>
          </a:effectLst>
        </c:spPr>
        <c:dLbl>
          <c:idx val="0"/>
          <c:layout>
            <c:manualLayout>
              <c:x val="0.33250207813798821"/>
              <c:y val="6.3492063492063489E-2"/>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021612635078968"/>
                  <c:h val="0.11832199546485261"/>
                </c:manualLayout>
              </c15:layout>
            </c:ext>
          </c:extLst>
        </c:dLbl>
      </c:pivotFmt>
      <c:pivotFmt>
        <c:idx val="10"/>
        <c:spPr>
          <a:solidFill>
            <a:schemeClr val="accent1"/>
          </a:solidFill>
          <a:ln>
            <a:noFill/>
          </a:ln>
          <a:effectLst>
            <a:outerShdw blurRad="254000" sx="102000" sy="102000" algn="ctr" rotWithShape="0">
              <a:prstClr val="black">
                <a:alpha val="20000"/>
              </a:prstClr>
            </a:outerShdw>
          </a:effectLst>
        </c:spPr>
        <c:dLbl>
          <c:idx val="0"/>
          <c:layout>
            <c:manualLayout>
              <c:x val="-0.1288445552784705"/>
              <c:y val="-0.11337868480725628"/>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dLbl>
          <c:idx val="0"/>
          <c:layout>
            <c:manualLayout>
              <c:x val="0.30786490822691792"/>
              <c:y val="-0.12446165919549114"/>
            </c:manualLayout>
          </c:layout>
          <c:tx>
            <c:rich>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fld id="{1AF77E44-CE8D-4DA7-9301-460846F2C1E3}" type="CATEGORYNAME">
                  <a:rPr lang="en-US">
                    <a:solidFill>
                      <a:schemeClr val="tx1"/>
                    </a:solidFill>
                  </a:rPr>
                  <a:pPr>
                    <a:defRPr sz="700">
                      <a:solidFill>
                        <a:schemeClr val="tx1"/>
                      </a:solidFill>
                    </a:defRPr>
                  </a:pPr>
                  <a:t>[CATEGORY NAME]</a:t>
                </a:fld>
                <a:r>
                  <a:rPr lang="en-US" baseline="0">
                    <a:solidFill>
                      <a:schemeClr val="tx1"/>
                    </a:solidFill>
                  </a:rPr>
                  <a:t>
</a:t>
                </a:r>
                <a:fld id="{878FA30C-7C08-4834-A673-B3128740A94C}" type="PERCENTAGE">
                  <a:rPr lang="en-US" baseline="0">
                    <a:solidFill>
                      <a:schemeClr val="tx1"/>
                    </a:solidFill>
                  </a:rPr>
                  <a:pPr>
                    <a:defRPr sz="700">
                      <a:solidFill>
                        <a:schemeClr val="tx1"/>
                      </a:solidFill>
                    </a:defRPr>
                  </a:pPr>
                  <a:t>[PERCENTAGE]</a:t>
                </a:fld>
                <a:endParaRPr lang="en-US" baseline="0">
                  <a:solidFill>
                    <a:schemeClr val="tx1"/>
                  </a:solidFill>
                </a:endParaRPr>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3235586291736065"/>
                  <c:h val="0.16109142578566249"/>
                </c:manualLayout>
              </c15:layout>
              <c15:dlblFieldTable/>
              <c15:showDataLabelsRange val="0"/>
            </c:ext>
          </c:extLst>
        </c:dLbl>
      </c:pivotFmt>
      <c:pivotFmt>
        <c:idx val="13"/>
        <c:spPr>
          <a:solidFill>
            <a:schemeClr val="accent1"/>
          </a:solidFill>
          <a:ln>
            <a:noFill/>
          </a:ln>
          <a:effectLst>
            <a:outerShdw blurRad="254000" sx="102000" sy="102000" algn="ctr" rotWithShape="0">
              <a:prstClr val="black">
                <a:alpha val="20000"/>
              </a:prstClr>
            </a:outerShdw>
          </a:effectLst>
        </c:spPr>
        <c:dLbl>
          <c:idx val="0"/>
          <c:layout>
            <c:manualLayout>
              <c:x val="0.26040528709084465"/>
              <c:y val="0.2717744202527751"/>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7669961911021942"/>
                  <c:h val="0.19971820828952427"/>
                </c:manualLayout>
              </c15:layout>
            </c:ext>
          </c:extLst>
        </c:dLbl>
      </c:pivotFmt>
      <c:pivotFmt>
        <c:idx val="14"/>
        <c:spPr>
          <a:solidFill>
            <a:schemeClr val="accent1"/>
          </a:solidFill>
          <a:ln>
            <a:noFill/>
          </a:ln>
          <a:effectLst>
            <a:outerShdw blurRad="254000" sx="102000" sy="102000" algn="ctr" rotWithShape="0">
              <a:prstClr val="black">
                <a:alpha val="20000"/>
              </a:prstClr>
            </a:outerShdw>
          </a:effectLst>
        </c:spPr>
        <c:dLbl>
          <c:idx val="0"/>
          <c:layout>
            <c:manualLayout>
              <c:x val="-0.24330787256278782"/>
              <c:y val="-1.8311316155574846E-2"/>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133075051438648"/>
                  <c:h val="0.16519185265335729"/>
                </c:manualLayout>
              </c15:layout>
            </c:ext>
          </c:extLst>
        </c:dLbl>
      </c:pivotFmt>
      <c:pivotFmt>
        <c:idx val="15"/>
        <c:spPr>
          <a:solidFill>
            <a:schemeClr val="accent1"/>
          </a:solidFill>
          <a:ln>
            <a:noFill/>
          </a:ln>
          <a:effectLst>
            <a:outerShdw blurRad="254000" sx="102000" sy="102000" algn="ctr" rotWithShape="0">
              <a:prstClr val="black">
                <a:alpha val="20000"/>
              </a:prstClr>
            </a:outerShdw>
          </a:effectLst>
        </c:spPr>
        <c:dLbl>
          <c:idx val="0"/>
          <c:layout>
            <c:manualLayout>
              <c:x val="-0.16940904068280044"/>
              <c:y val="-0.16864484369983709"/>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344306911830346"/>
                  <c:h val="0.17290816993852628"/>
                </c:manualLayout>
              </c15:layout>
            </c:ext>
          </c:extLst>
        </c:dLbl>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dLbl>
          <c:idx val="0"/>
          <c:layout>
            <c:manualLayout>
              <c:x val="3.0244020597232656E-2"/>
              <c:y val="-4.530267178749364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outerShdw blurRad="254000" sx="102000" sy="102000" algn="ctr" rotWithShape="0">
              <a:prstClr val="black">
                <a:alpha val="20000"/>
              </a:prstClr>
            </a:outerShdw>
          </a:effectLst>
        </c:spPr>
        <c:dLbl>
          <c:idx val="0"/>
          <c:layout>
            <c:manualLayout>
              <c:x val="6.4808615565498551E-2"/>
              <c:y val="1.510089059583113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outerShdw blurRad="254000" sx="102000" sy="102000" algn="ctr" rotWithShape="0">
              <a:prstClr val="black">
                <a:alpha val="20000"/>
              </a:prstClr>
            </a:outerShdw>
          </a:effectLst>
        </c:spPr>
        <c:dLbl>
          <c:idx val="0"/>
          <c:layout>
            <c:manualLayout>
              <c:x val="0.12529665675996385"/>
              <c:y val="0"/>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dLbl>
          <c:idx val="0"/>
          <c:layout>
            <c:manualLayout>
              <c:x val="-3.8885169339299128E-2"/>
              <c:y val="9.815578887290281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199848148657229"/>
          <c:y val="0.28489938757655292"/>
          <c:w val="0.59781550061853239"/>
          <c:h val="0.65231024693341899"/>
        </c:manualLayout>
      </c:layout>
      <c:doughnutChart>
        <c:varyColors val="1"/>
        <c:ser>
          <c:idx val="0"/>
          <c:order val="0"/>
          <c:tx>
            <c:strRef>
              <c:f>'2. Fraud Risk in %'!$B$3</c:f>
              <c:strCache>
                <c:ptCount val="1"/>
                <c:pt idx="0">
                  <c:v>Sum of Transaction Amount (INR)</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689-47F7-B841-127435B2D07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689-47F7-B841-127435B2D07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689-47F7-B841-127435B2D07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689-47F7-B841-127435B2D076}"/>
              </c:ext>
            </c:extLst>
          </c:dPt>
          <c:dLbls>
            <c:dLbl>
              <c:idx val="0"/>
              <c:layout>
                <c:manualLayout>
                  <c:x val="0.30786490822691792"/>
                  <c:y val="-0.12446165919549114"/>
                </c:manualLayout>
              </c:layout>
              <c:tx>
                <c:rich>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fld id="{1AF77E44-CE8D-4DA7-9301-460846F2C1E3}" type="CATEGORYNAME">
                      <a:rPr lang="en-US">
                        <a:solidFill>
                          <a:schemeClr val="tx1"/>
                        </a:solidFill>
                      </a:rPr>
                      <a:pPr>
                        <a:defRPr sz="700">
                          <a:solidFill>
                            <a:schemeClr val="tx1"/>
                          </a:solidFill>
                        </a:defRPr>
                      </a:pPr>
                      <a:t>[CATEGORY NAME]</a:t>
                    </a:fld>
                    <a:r>
                      <a:rPr lang="en-US" baseline="0">
                        <a:solidFill>
                          <a:schemeClr val="tx1"/>
                        </a:solidFill>
                      </a:rPr>
                      <a:t>
</a:t>
                    </a:r>
                    <a:fld id="{878FA30C-7C08-4834-A673-B3128740A94C}" type="PERCENTAGE">
                      <a:rPr lang="en-US" baseline="0">
                        <a:solidFill>
                          <a:schemeClr val="tx1"/>
                        </a:solidFill>
                      </a:rPr>
                      <a:pPr>
                        <a:defRPr sz="700">
                          <a:solidFill>
                            <a:schemeClr val="tx1"/>
                          </a:solidFill>
                        </a:defRPr>
                      </a:pPr>
                      <a:t>[PERCENTAGE]</a:t>
                    </a:fld>
                    <a:endParaRPr lang="en-US" baseline="0">
                      <a:solidFill>
                        <a:schemeClr val="tx1"/>
                      </a:solidFill>
                    </a:endParaRPr>
                  </a:p>
                </c:rich>
              </c:tx>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3235586291736065"/>
                      <c:h val="0.16109142578566249"/>
                    </c:manualLayout>
                  </c15:layout>
                  <c15:dlblFieldTable/>
                  <c15:showDataLabelsRange val="0"/>
                </c:ext>
                <c:ext xmlns:c16="http://schemas.microsoft.com/office/drawing/2014/chart" uri="{C3380CC4-5D6E-409C-BE32-E72D297353CC}">
                  <c16:uniqueId val="{00000001-1689-47F7-B841-127435B2D076}"/>
                </c:ext>
              </c:extLst>
            </c:dLbl>
            <c:dLbl>
              <c:idx val="1"/>
              <c:layout>
                <c:manualLayout>
                  <c:x val="0.26040528709084465"/>
                  <c:y val="0.2717744202527751"/>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7669961911021942"/>
                      <c:h val="0.19971820828952427"/>
                    </c:manualLayout>
                  </c15:layout>
                </c:ext>
                <c:ext xmlns:c16="http://schemas.microsoft.com/office/drawing/2014/chart" uri="{C3380CC4-5D6E-409C-BE32-E72D297353CC}">
                  <c16:uniqueId val="{00000003-1689-47F7-B841-127435B2D076}"/>
                </c:ext>
              </c:extLst>
            </c:dLbl>
            <c:dLbl>
              <c:idx val="2"/>
              <c:layout>
                <c:manualLayout>
                  <c:x val="-0.24330787256278782"/>
                  <c:y val="-1.8311316155574846E-2"/>
                </c:manualLayout>
              </c:layout>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133075051438648"/>
                      <c:h val="0.16519185265335729"/>
                    </c:manualLayout>
                  </c15:layout>
                </c:ext>
                <c:ext xmlns:c16="http://schemas.microsoft.com/office/drawing/2014/chart" uri="{C3380CC4-5D6E-409C-BE32-E72D297353CC}">
                  <c16:uniqueId val="{00000005-1689-47F7-B841-127435B2D076}"/>
                </c:ext>
              </c:extLst>
            </c:dLbl>
            <c:dLbl>
              <c:idx val="3"/>
              <c:layout>
                <c:manualLayout>
                  <c:x val="-0.16940904068280044"/>
                  <c:y val="-0.16864484369983709"/>
                </c:manualLayout>
              </c:layout>
              <c:showLegendKey val="0"/>
              <c:showVal val="0"/>
              <c:showCatName val="1"/>
              <c:showSerName val="0"/>
              <c:showPercent val="1"/>
              <c:showBubbleSize val="0"/>
              <c:extLst>
                <c:ext xmlns:c15="http://schemas.microsoft.com/office/drawing/2012/chart" uri="{CE6537A1-D6FC-4f65-9D91-7224C49458BB}">
                  <c15:layout>
                    <c:manualLayout>
                      <c:w val="0.14344306911830346"/>
                      <c:h val="0.17290816993852628"/>
                    </c:manualLayout>
                  </c15:layout>
                </c:ext>
                <c:ext xmlns:c16="http://schemas.microsoft.com/office/drawing/2014/chart" uri="{C3380CC4-5D6E-409C-BE32-E72D297353CC}">
                  <c16:uniqueId val="{00000007-1689-47F7-B841-127435B2D076}"/>
                </c:ext>
              </c:extLst>
            </c:dLbl>
            <c:spPr>
              <a:solidFill>
                <a:schemeClr val="bg2"/>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'2. Fraud Risk in %'!$A$4:$A$8</c:f>
              <c:strCache>
                <c:ptCount val="4"/>
                <c:pt idx="0">
                  <c:v>Critical</c:v>
                </c:pt>
                <c:pt idx="1">
                  <c:v>High</c:v>
                </c:pt>
                <c:pt idx="2">
                  <c:v>Low</c:v>
                </c:pt>
                <c:pt idx="3">
                  <c:v>Medium</c:v>
                </c:pt>
              </c:strCache>
            </c:strRef>
          </c:cat>
          <c:val>
            <c:numRef>
              <c:f>'2. Fraud Risk in %'!$B$4:$B$8</c:f>
              <c:numCache>
                <c:formatCode>#\ 0.00,,\M</c:formatCode>
                <c:ptCount val="4"/>
                <c:pt idx="0">
                  <c:v>1326187</c:v>
                </c:pt>
                <c:pt idx="1">
                  <c:v>2300042</c:v>
                </c:pt>
                <c:pt idx="2">
                  <c:v>5186210</c:v>
                </c:pt>
                <c:pt idx="3">
                  <c:v>3414404</c:v>
                </c:pt>
              </c:numCache>
            </c:numRef>
          </c:val>
          <c:extLst>
            <c:ext xmlns:c16="http://schemas.microsoft.com/office/drawing/2014/chart" uri="{C3380CC4-5D6E-409C-BE32-E72D297353CC}">
              <c16:uniqueId val="{00000008-1689-47F7-B841-127435B2D076}"/>
            </c:ext>
          </c:extLst>
        </c:ser>
        <c:ser>
          <c:idx val="1"/>
          <c:order val="1"/>
          <c:tx>
            <c:strRef>
              <c:f>'2. Fraud Risk in %'!$C$3</c:f>
              <c:strCache>
                <c:ptCount val="1"/>
                <c:pt idx="0">
                  <c:v>Sum of Fraud Score</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62C3-4927-9BD5-53F7BEE2A1F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62C3-4927-9BD5-53F7BEE2A1F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62C3-4927-9BD5-53F7BEE2A1F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62C3-4927-9BD5-53F7BEE2A1F1}"/>
              </c:ext>
            </c:extLst>
          </c:dPt>
          <c:dLbls>
            <c:dLbl>
              <c:idx val="0"/>
              <c:layout>
                <c:manualLayout>
                  <c:x val="3.0244020597232656E-2"/>
                  <c:y val="-4.53026717874936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2C3-4927-9BD5-53F7BEE2A1F1}"/>
                </c:ext>
              </c:extLst>
            </c:dLbl>
            <c:dLbl>
              <c:idx val="1"/>
              <c:layout>
                <c:manualLayout>
                  <c:x val="6.4808615565498551E-2"/>
                  <c:y val="1.51008905958311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2C3-4927-9BD5-53F7BEE2A1F1}"/>
                </c:ext>
              </c:extLst>
            </c:dLbl>
            <c:dLbl>
              <c:idx val="2"/>
              <c:layout>
                <c:manualLayout>
                  <c:x val="0.1252966567599638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2C3-4927-9BD5-53F7BEE2A1F1}"/>
                </c:ext>
              </c:extLst>
            </c:dLbl>
            <c:dLbl>
              <c:idx val="3"/>
              <c:layout>
                <c:manualLayout>
                  <c:x val="-3.8885169339299128E-2"/>
                  <c:y val="9.81557888729028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62C3-4927-9BD5-53F7BEE2A1F1}"/>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'2. Fraud Risk in %'!$A$4:$A$8</c:f>
              <c:strCache>
                <c:ptCount val="4"/>
                <c:pt idx="0">
                  <c:v>Critical</c:v>
                </c:pt>
                <c:pt idx="1">
                  <c:v>High</c:v>
                </c:pt>
                <c:pt idx="2">
                  <c:v>Low</c:v>
                </c:pt>
                <c:pt idx="3">
                  <c:v>Medium</c:v>
                </c:pt>
              </c:strCache>
            </c:strRef>
          </c:cat>
          <c:val>
            <c:numRef>
              <c:f>'2. Fraud Risk in %'!$C$4:$C$8</c:f>
              <c:numCache>
                <c:formatCode>General</c:formatCode>
                <c:ptCount val="4"/>
                <c:pt idx="0">
                  <c:v>5789</c:v>
                </c:pt>
                <c:pt idx="1">
                  <c:v>10473</c:v>
                </c:pt>
                <c:pt idx="2">
                  <c:v>21451</c:v>
                </c:pt>
                <c:pt idx="3">
                  <c:v>15466</c:v>
                </c:pt>
              </c:numCache>
            </c:numRef>
          </c:val>
          <c:extLst>
            <c:ext xmlns:c16="http://schemas.microsoft.com/office/drawing/2014/chart" uri="{C3380CC4-5D6E-409C-BE32-E72D297353CC}">
              <c16:uniqueId val="{00000008-62C3-4927-9BD5-53F7BEE2A1F1}"/>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[Fraud Loss Reduction through Fraud Patterns and Behaviour Analysis.xlsm]3. State Wise Total Transaction!PivotTable4</c:name>
    <c:fmtId val="9"/>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97646888977593E-2"/>
          <c:y val="4.4120370370370372E-2"/>
          <c:w val="0.95113486340155928"/>
          <c:h val="0.64135535141440658"/>
        </c:manualLayout>
      </c:layout>
      <c:barChart>
        <c:barDir val="col"/>
        <c:grouping val="clustered"/>
        <c:varyColors val="0"/>
        <c:ser>
          <c:idx val="0"/>
          <c:order val="0"/>
          <c:tx>
            <c:strRef>
              <c:f>'3. State Wise Total Transaction'!$B$3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'3. State Wise Total Transaction'!$A$4:$A$14</c:f>
              <c:strCache>
                <c:ptCount val="10"/>
                <c:pt idx="0">
                  <c:v>Maharashtra</c:v>
                </c:pt>
                <c:pt idx="1">
                  <c:v>Karnataka</c:v>
                </c:pt>
                <c:pt idx="2">
                  <c:v>Rajasthan</c:v>
                </c:pt>
                <c:pt idx="3">
                  <c:v>West Bengal</c:v>
                </c:pt>
                <c:pt idx="4">
                  <c:v>Uttar Pradesh</c:v>
                </c:pt>
                <c:pt idx="5">
                  <c:v>Tamil Nadu</c:v>
                </c:pt>
                <c:pt idx="6">
                  <c:v>Telangana</c:v>
                </c:pt>
                <c:pt idx="7">
                  <c:v>Gujarat</c:v>
                </c:pt>
                <c:pt idx="8">
                  <c:v>Kerala</c:v>
                </c:pt>
                <c:pt idx="9">
                  <c:v>Delhi</c:v>
                </c:pt>
              </c:strCache>
            </c:strRef>
          </c:cat>
          <c:val>
            <c:numRef>
              <c:f>'3. State Wise Total Transaction'!$B$4:$B$14</c:f>
              <c:numCache>
                <c:formatCode>General</c:formatCode>
                <c:ptCount val="10"/>
                <c:pt idx="0">
                  <c:v>36</c:v>
                </c:pt>
                <c:pt idx="1">
                  <c:v>34</c:v>
                </c:pt>
                <c:pt idx="2">
                  <c:v>34</c:v>
                </c:pt>
                <c:pt idx="3">
                  <c:v>33</c:v>
                </c:pt>
                <c:pt idx="4">
                  <c:v>29</c:v>
                </c:pt>
                <c:pt idx="5">
                  <c:v>28</c:v>
                </c:pt>
                <c:pt idx="6">
                  <c:v>27</c:v>
                </c:pt>
                <c:pt idx="7">
                  <c:v>23</c:v>
                </c:pt>
                <c:pt idx="8">
                  <c:v>21</c:v>
                </c:pt>
                <c:pt idx="9">
                  <c:v>21</c:v>
                </c:pt>
              </c:numCache>
            </c:numRef>
          </c:val>
          <c:extLst>
            <c:ext xmlns:c16="http://schemas.microsoft.com/office/drawing/2014/chart" uri="{C3380CC4-5D6E-409C-BE32-E72D297353CC}">
              <c16:uniqueId val="{00000000-F80B-4AA8-8EFC-543A97AB5CC4}"/>
            </c:ext>
          </c:extLst>
        </c:ser>
        <c:dLbls>
          <c:dLblPos val="inEnd"/>
          <c:showLegendKey val="0"/>
          <c:showVal val="1"/>
          <c:showCatName val="0"/>
          <c:showSerName val="0"/>
          <c:showPercent val="0"/>
          <c:showBubbleSize val="0"/>
        </c:dLbls>
        <c:gapWidth val="100"/>
        <c:overlap val="-24"/>
        <c:axId val="1686390287"/>
        <c:axId val="1686391247"/>
      </c:barChart>
      <c:catAx>
        <c:axId val="16863902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6391247"/>
        <c:crosses val="autoZero"/>
        <c:auto val="1"/>
        <c:lblAlgn val="ctr"/>
        <c:lblOffset val="100"/>
        <c:noMultiLvlLbl val="0"/>
      </c:catAx>
      <c:valAx>
        <c:axId val="1686391247"/>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686390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[Fraud Loss Reduction through Fraud Patterns and Behaviour Analysis.xlsm]4. Fraudlent Transaction Months!PivotTable5</c:name>
    <c:fmtId val="13"/>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2.0370135052831988E-16"/>
              <c:y val="-0.39351851851851855"/>
            </c:manualLayout>
          </c:layou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1.0185067526415994E-16"/>
              <c:y val="-5.0925925925925923E-2"/>
            </c:manualLayout>
          </c:layou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2.7777777777777779E-3"/>
              <c:y val="-0.17129629629629639"/>
            </c:manualLayout>
          </c:layout>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0"/>
              <c:y val="-5.0925925925925923E-2"/>
            </c:manualLayout>
          </c:layout>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2.777777777777676E-3"/>
              <c:y val="-0.29861092884222812"/>
            </c:manualLayout>
          </c:layout>
          <c:showLegendKey val="0"/>
          <c:showVal val="1"/>
          <c:showCatName val="0"/>
          <c:showSerName val="0"/>
          <c:showPercent val="0"/>
          <c:showBubbleSize val="0"/>
          <c:extLst>
            <c:ext xmlns:c15="http://schemas.microsoft.com/office/drawing/2012/chart" uri="{CE6537A1-D6FC-4f65-9D91-7224C49458BB}">
              <c15:layout>
                <c:manualLayout>
                  <c:w val="4.2000000000000003E-2"/>
                  <c:h val="7.8634441528142307E-2"/>
                </c:manualLayout>
              </c15:layout>
            </c:ext>
          </c:extLst>
        </c:dLbl>
      </c:pivotFmt>
      <c:pivotFmt>
        <c:idx val="6"/>
        <c:dLbl>
          <c:idx val="0"/>
          <c:layout>
            <c:manualLayout>
              <c:x val="0"/>
              <c:y val="-0.1435185185185186"/>
            </c:manualLayout>
          </c:layout>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5.0925337632079971E-17"/>
              <c:y val="-7.870370370370379E-2"/>
            </c:manualLayout>
          </c:layout>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0.10648148148148157"/>
            </c:manualLayout>
          </c:layout>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1.1111111111111136E-2"/>
              <c:y val="-0.1111111111111112"/>
            </c:manualLayout>
          </c:layout>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2.7777777777777267E-3"/>
              <c:y val="-0.17592592592592593"/>
            </c:manualLayout>
          </c:layout>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2.7777777777778286E-3"/>
              <c:y val="-0.27777777777777785"/>
            </c:manualLayout>
          </c:layout>
          <c:showLegendKey val="0"/>
          <c:showVal val="1"/>
          <c:showCatName val="0"/>
          <c:showSerName val="0"/>
          <c:showPercent val="0"/>
          <c:showBubbleSize val="0"/>
          <c:extLst>
            <c:ext xmlns:c15="http://schemas.microsoft.com/office/drawing/2012/chart" uri="{CE6537A1-D6FC-4f65-9D91-7224C49458BB}"/>
          </c:extLst>
        </c:dLbl>
      </c:pivotFmt>
      <c:pivotFmt>
        <c:idx val="12"/>
        <c:dLbl>
          <c:idx val="0"/>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1.1111111111111136E-2"/>
              <c:y val="-0.1111111111111112"/>
            </c:manualLayout>
          </c:layout>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0"/>
              <c:y val="-0.10648148148148157"/>
            </c:manualLayout>
          </c:layout>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2.7777777777777267E-3"/>
              <c:y val="-0.17592592592592593"/>
            </c:manualLayout>
          </c:layout>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5.0925337632079971E-17"/>
              <c:y val="-7.870370370370379E-2"/>
            </c:manualLayout>
          </c:layout>
          <c:showLegendKey val="0"/>
          <c:showVal val="1"/>
          <c:showCatName val="0"/>
          <c:showSerName val="0"/>
          <c:showPercent val="0"/>
          <c:showBubbleSize val="0"/>
          <c:extLst>
            <c:ext xmlns:c15="http://schemas.microsoft.com/office/drawing/2012/chart" uri="{CE6537A1-D6FC-4f65-9D91-7224C49458BB}"/>
          </c:extLst>
        </c:dLbl>
      </c:pivotFmt>
      <c:pivotFmt>
        <c:idx val="17"/>
        <c:dLbl>
          <c:idx val="0"/>
          <c:layout>
            <c:manualLayout>
              <c:x val="-2.7777777777778286E-3"/>
              <c:y val="-0.27777777777777785"/>
            </c:manualLayout>
          </c:layout>
          <c:showLegendKey val="0"/>
          <c:showVal val="1"/>
          <c:showCatName val="0"/>
          <c:showSerName val="0"/>
          <c:showPercent val="0"/>
          <c:showBubbleSize val="0"/>
          <c:extLst>
            <c:ext xmlns:c15="http://schemas.microsoft.com/office/drawing/2012/chart" uri="{CE6537A1-D6FC-4f65-9D91-7224C49458BB}"/>
          </c:extLst>
        </c:dLbl>
      </c:pivotFmt>
      <c:pivotFmt>
        <c:idx val="18"/>
        <c:dLbl>
          <c:idx val="0"/>
          <c:layout>
            <c:manualLayout>
              <c:x val="0"/>
              <c:y val="-0.1435185185185186"/>
            </c:manualLayout>
          </c:layout>
          <c:showLegendKey val="0"/>
          <c:showVal val="1"/>
          <c:showCatName val="0"/>
          <c:showSerName val="0"/>
          <c:showPercent val="0"/>
          <c:showBubbleSize val="0"/>
          <c:extLst>
            <c:ext xmlns:c15="http://schemas.microsoft.com/office/drawing/2012/chart" uri="{CE6537A1-D6FC-4f65-9D91-7224C49458BB}"/>
          </c:extLst>
        </c:dLbl>
      </c:pivotFmt>
      <c:pivotFmt>
        <c:idx val="19"/>
        <c:dLbl>
          <c:idx val="0"/>
          <c:layout>
            <c:manualLayout>
              <c:x val="2.777777777777676E-3"/>
              <c:y val="-0.29861092884222812"/>
            </c:manualLayout>
          </c:layout>
          <c:showLegendKey val="0"/>
          <c:showVal val="1"/>
          <c:showCatName val="0"/>
          <c:showSerName val="0"/>
          <c:showPercent val="0"/>
          <c:showBubbleSize val="0"/>
          <c:extLst>
            <c:ext xmlns:c15="http://schemas.microsoft.com/office/drawing/2012/chart" uri="{CE6537A1-D6FC-4f65-9D91-7224C49458BB}">
              <c15:layout>
                <c:manualLayout>
                  <c:w val="4.2000000000000003E-2"/>
                  <c:h val="7.8634441528142307E-2"/>
                </c:manualLayout>
              </c15:layout>
            </c:ext>
          </c:extLst>
        </c:dLbl>
      </c:pivotFmt>
      <c:pivotFmt>
        <c:idx val="20"/>
        <c:dLbl>
          <c:idx val="0"/>
          <c:layout>
            <c:manualLayout>
              <c:x val="0"/>
              <c:y val="-5.0925925925925923E-2"/>
            </c:manualLayout>
          </c:layout>
          <c:showLegendKey val="0"/>
          <c:showVal val="1"/>
          <c:showCatName val="0"/>
          <c:showSerName val="0"/>
          <c:showPercent val="0"/>
          <c:showBubbleSize val="0"/>
          <c:extLst>
            <c:ext xmlns:c15="http://schemas.microsoft.com/office/drawing/2012/chart" uri="{CE6537A1-D6FC-4f65-9D91-7224C49458BB}"/>
          </c:extLst>
        </c:dLbl>
      </c:pivotFmt>
      <c:pivotFmt>
        <c:idx val="21"/>
        <c:dLbl>
          <c:idx val="0"/>
          <c:layout>
            <c:manualLayout>
              <c:x val="2.7777777777777779E-3"/>
              <c:y val="-0.17129629629629639"/>
            </c:manualLayout>
          </c:layout>
          <c:showLegendKey val="0"/>
          <c:showVal val="1"/>
          <c:showCatName val="0"/>
          <c:showSerName val="0"/>
          <c:showPercent val="0"/>
          <c:showBubbleSize val="0"/>
          <c:extLst>
            <c:ext xmlns:c15="http://schemas.microsoft.com/office/drawing/2012/chart" uri="{CE6537A1-D6FC-4f65-9D91-7224C49458BB}"/>
          </c:extLst>
        </c:dLbl>
      </c:pivotFmt>
      <c:pivotFmt>
        <c:idx val="22"/>
        <c:dLbl>
          <c:idx val="0"/>
          <c:layout>
            <c:manualLayout>
              <c:x val="-1.0185067526415994E-16"/>
              <c:y val="-5.0925925925925923E-2"/>
            </c:manualLayout>
          </c:layout>
          <c:showLegendKey val="0"/>
          <c:showVal val="1"/>
          <c:showCatName val="0"/>
          <c:showSerName val="0"/>
          <c:showPercent val="0"/>
          <c:showBubbleSize val="0"/>
          <c:extLst>
            <c:ext xmlns:c15="http://schemas.microsoft.com/office/drawing/2012/chart" uri="{CE6537A1-D6FC-4f65-9D91-7224C49458BB}"/>
          </c:extLst>
        </c:dLbl>
      </c:pivotFmt>
      <c:pivotFmt>
        <c:idx val="23"/>
        <c:dLbl>
          <c:idx val="0"/>
          <c:layout>
            <c:manualLayout>
              <c:x val="-2.0370135052831988E-16"/>
              <c:y val="-0.39351851851851855"/>
            </c:manualLayout>
          </c:layout>
          <c:showLegendKey val="0"/>
          <c:showVal val="1"/>
          <c:showCatName val="0"/>
          <c:showSerName val="0"/>
          <c:showPercent val="0"/>
          <c:showBubbleSize val="0"/>
          <c:extLst>
            <c:ext xmlns:c15="http://schemas.microsoft.com/office/drawing/2012/chart" uri="{CE6537A1-D6FC-4f65-9D91-7224C49458BB}"/>
          </c:extLst>
        </c:dLbl>
      </c:pivotFmt>
      <c:pivotFmt>
        <c:idx val="24"/>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1.1111111111111136E-2"/>
              <c:y val="-0.11111111111111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0"/>
              <c:y val="-0.106481481481481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2.7777777777777267E-3"/>
              <c:y val="-0.17592592592592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5.0925337632079971E-17"/>
              <c:y val="-7.8703703703703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2.7777777777778286E-3"/>
              <c:y val="-0.277777777777777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0"/>
              <c:y val="-0.14351851851851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2.777777777777676E-3"/>
              <c:y val="-0.298610928842228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0"/>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2.7777777777777779E-3"/>
              <c:y val="-0.171296296296296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1.0185067526415994E-16"/>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
          <c:idx val="0"/>
          <c:layout>
            <c:manualLayout>
              <c:x val="-2.0370135052831988E-16"/>
              <c:y val="-0.393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541557305336835E-2"/>
          <c:y val="0.17736111111111111"/>
          <c:w val="0.85870844269466318"/>
          <c:h val="0.71523950131233593"/>
        </c:manualLayout>
      </c:layout>
      <c:areaChart>
        <c:grouping val="standard"/>
        <c:varyColors val="0"/>
        <c:ser>
          <c:idx val="0"/>
          <c:order val="0"/>
          <c:tx>
            <c:strRef>
              <c:f>'4. Fraudlent Transaction Months'!$B$3</c:f>
              <c:strCache>
                <c:ptCount val="1"/>
                <c:pt idx="0">
                  <c:v>Total</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Pt>
            <c:idx val="1"/>
            <c:bubble3D val="0"/>
            <c:extLst>
              <c:ext xmlns:c16="http://schemas.microsoft.com/office/drawing/2014/chart" uri="{C3380CC4-5D6E-409C-BE32-E72D297353CC}">
                <c16:uniqueId val="{00000000-459D-461A-AF1E-196655B1A5D4}"/>
              </c:ext>
            </c:extLst>
          </c:dPt>
          <c:dPt>
            <c:idx val="2"/>
            <c:bubble3D val="0"/>
            <c:extLst>
              <c:ext xmlns:c16="http://schemas.microsoft.com/office/drawing/2014/chart" uri="{C3380CC4-5D6E-409C-BE32-E72D297353CC}">
                <c16:uniqueId val="{00000001-459D-461A-AF1E-196655B1A5D4}"/>
              </c:ext>
            </c:extLst>
          </c:dPt>
          <c:dPt>
            <c:idx val="3"/>
            <c:bubble3D val="0"/>
            <c:extLst>
              <c:ext xmlns:c16="http://schemas.microsoft.com/office/drawing/2014/chart" uri="{C3380CC4-5D6E-409C-BE32-E72D297353CC}">
                <c16:uniqueId val="{00000002-459D-461A-AF1E-196655B1A5D4}"/>
              </c:ext>
            </c:extLst>
          </c:dPt>
          <c:dPt>
            <c:idx val="4"/>
            <c:bubble3D val="0"/>
            <c:extLst>
              <c:ext xmlns:c16="http://schemas.microsoft.com/office/drawing/2014/chart" uri="{C3380CC4-5D6E-409C-BE32-E72D297353CC}">
                <c16:uniqueId val="{00000003-459D-461A-AF1E-196655B1A5D4}"/>
              </c:ext>
            </c:extLst>
          </c:dPt>
          <c:dPt>
            <c:idx val="5"/>
            <c:bubble3D val="0"/>
            <c:extLst>
              <c:ext xmlns:c16="http://schemas.microsoft.com/office/drawing/2014/chart" uri="{C3380CC4-5D6E-409C-BE32-E72D297353CC}">
                <c16:uniqueId val="{00000004-459D-461A-AF1E-196655B1A5D4}"/>
              </c:ext>
            </c:extLst>
          </c:dPt>
          <c:dPt>
            <c:idx val="6"/>
            <c:bubble3D val="0"/>
            <c:extLst>
              <c:ext xmlns:c16="http://schemas.microsoft.com/office/drawing/2014/chart" uri="{C3380CC4-5D6E-409C-BE32-E72D297353CC}">
                <c16:uniqueId val="{00000005-459D-461A-AF1E-196655B1A5D4}"/>
              </c:ext>
            </c:extLst>
          </c:dPt>
          <c:dPt>
            <c:idx val="7"/>
            <c:bubble3D val="0"/>
            <c:extLst>
              <c:ext xmlns:c16="http://schemas.microsoft.com/office/drawing/2014/chart" uri="{C3380CC4-5D6E-409C-BE32-E72D297353CC}">
                <c16:uniqueId val="{00000006-459D-461A-AF1E-196655B1A5D4}"/>
              </c:ext>
            </c:extLst>
          </c:dPt>
          <c:dPt>
            <c:idx val="8"/>
            <c:bubble3D val="0"/>
            <c:extLst>
              <c:ext xmlns:c16="http://schemas.microsoft.com/office/drawing/2014/chart" uri="{C3380CC4-5D6E-409C-BE32-E72D297353CC}">
                <c16:uniqueId val="{00000007-459D-461A-AF1E-196655B1A5D4}"/>
              </c:ext>
            </c:extLst>
          </c:dPt>
          <c:dPt>
            <c:idx val="9"/>
            <c:bubble3D val="0"/>
            <c:extLst>
              <c:ext xmlns:c16="http://schemas.microsoft.com/office/drawing/2014/chart" uri="{C3380CC4-5D6E-409C-BE32-E72D297353CC}">
                <c16:uniqueId val="{00000008-459D-461A-AF1E-196655B1A5D4}"/>
              </c:ext>
            </c:extLst>
          </c:dPt>
          <c:dPt>
            <c:idx val="10"/>
            <c:bubble3D val="0"/>
            <c:extLst>
              <c:ext xmlns:c16="http://schemas.microsoft.com/office/drawing/2014/chart" uri="{C3380CC4-5D6E-409C-BE32-E72D297353CC}">
                <c16:uniqueId val="{00000009-459D-461A-AF1E-196655B1A5D4}"/>
              </c:ext>
            </c:extLst>
          </c:dPt>
          <c:dPt>
            <c:idx val="11"/>
            <c:bubble3D val="0"/>
            <c:extLst>
              <c:ext xmlns:c16="http://schemas.microsoft.com/office/drawing/2014/chart" uri="{C3380CC4-5D6E-409C-BE32-E72D297353CC}">
                <c16:uniqueId val="{0000000A-459D-461A-AF1E-196655B1A5D4}"/>
              </c:ext>
            </c:extLst>
          </c:dPt>
          <c:dLbls>
            <c:dLbl>
              <c:idx val="1"/>
              <c:layout>
                <c:manualLayout>
                  <c:x val="-1.1111111111111136E-2"/>
                  <c:y val="-0.111111111111111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59D-461A-AF1E-196655B1A5D4}"/>
                </c:ext>
              </c:extLst>
            </c:dLbl>
            <c:dLbl>
              <c:idx val="2"/>
              <c:layout>
                <c:manualLayout>
                  <c:x val="0"/>
                  <c:y val="-0.106481481481481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59D-461A-AF1E-196655B1A5D4}"/>
                </c:ext>
              </c:extLst>
            </c:dLbl>
            <c:dLbl>
              <c:idx val="3"/>
              <c:layout>
                <c:manualLayout>
                  <c:x val="2.7777777777777267E-3"/>
                  <c:y val="-0.1759259259259259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59D-461A-AF1E-196655B1A5D4}"/>
                </c:ext>
              </c:extLst>
            </c:dLbl>
            <c:dLbl>
              <c:idx val="4"/>
              <c:layout>
                <c:manualLayout>
                  <c:x val="-5.0925337632079971E-17"/>
                  <c:y val="-7.8703703703703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59D-461A-AF1E-196655B1A5D4}"/>
                </c:ext>
              </c:extLst>
            </c:dLbl>
            <c:dLbl>
              <c:idx val="5"/>
              <c:layout>
                <c:manualLayout>
                  <c:x val="-2.7777777777778286E-3"/>
                  <c:y val="-0.277777777777777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59D-461A-AF1E-196655B1A5D4}"/>
                </c:ext>
              </c:extLst>
            </c:dLbl>
            <c:dLbl>
              <c:idx val="6"/>
              <c:layout>
                <c:manualLayout>
                  <c:x val="0"/>
                  <c:y val="-0.143518518518518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59D-461A-AF1E-196655B1A5D4}"/>
                </c:ext>
              </c:extLst>
            </c:dLbl>
            <c:dLbl>
              <c:idx val="7"/>
              <c:layout>
                <c:manualLayout>
                  <c:x val="2.777777777777676E-3"/>
                  <c:y val="-0.2986109288422281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59D-461A-AF1E-196655B1A5D4}"/>
                </c:ext>
              </c:extLst>
            </c:dLbl>
            <c:dLbl>
              <c:idx val="8"/>
              <c:layout>
                <c:manualLayout>
                  <c:x val="0"/>
                  <c:y val="-5.09259259259259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59D-461A-AF1E-196655B1A5D4}"/>
                </c:ext>
              </c:extLst>
            </c:dLbl>
            <c:dLbl>
              <c:idx val="9"/>
              <c:layout>
                <c:manualLayout>
                  <c:x val="2.7777777777777779E-3"/>
                  <c:y val="-0.171296296296296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59D-461A-AF1E-196655B1A5D4}"/>
                </c:ext>
              </c:extLst>
            </c:dLbl>
            <c:dLbl>
              <c:idx val="10"/>
              <c:layout>
                <c:manualLayout>
                  <c:x val="-1.0185067526415994E-16"/>
                  <c:y val="-5.09259259259259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59D-461A-AF1E-196655B1A5D4}"/>
                </c:ext>
              </c:extLst>
            </c:dLbl>
            <c:dLbl>
              <c:idx val="11"/>
              <c:layout>
                <c:manualLayout>
                  <c:x val="-2.0370135052831988E-16"/>
                  <c:y val="-0.393518518518518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59D-461A-AF1E-196655B1A5D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'4. Fraudlent Transaction Months'!$A$4:$A$16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'4. Fraudlent Transaction Months'!$B$4:$B$16</c:f>
              <c:numCache>
                <c:formatCode>General</c:formatCode>
                <c:ptCount val="12"/>
                <c:pt idx="0">
                  <c:v>17</c:v>
                </c:pt>
                <c:pt idx="1">
                  <c:v>18</c:v>
                </c:pt>
                <c:pt idx="2">
                  <c:v>26</c:v>
                </c:pt>
                <c:pt idx="3">
                  <c:v>22</c:v>
                </c:pt>
                <c:pt idx="4">
                  <c:v>22</c:v>
                </c:pt>
                <c:pt idx="5">
                  <c:v>28</c:v>
                </c:pt>
                <c:pt idx="6">
                  <c:v>26</c:v>
                </c:pt>
                <c:pt idx="7">
                  <c:v>29</c:v>
                </c:pt>
                <c:pt idx="8">
                  <c:v>21</c:v>
                </c:pt>
                <c:pt idx="9">
                  <c:v>22</c:v>
                </c:pt>
                <c:pt idx="10">
                  <c:v>21</c:v>
                </c:pt>
                <c:pt idx="11">
                  <c:v>34</c:v>
                </c:pt>
              </c:numCache>
            </c:numRef>
          </c:val>
          <c:extLst>
            <c:ext xmlns:c16="http://schemas.microsoft.com/office/drawing/2014/chart" uri="{C3380CC4-5D6E-409C-BE32-E72D297353CC}">
              <c16:uniqueId val="{0000000B-459D-461A-AF1E-196655B1A5D4}"/>
            </c:ext>
          </c:extLst>
        </c:ser>
        <c:dLbls>
          <c:showLegendKey val="0"/>
          <c:showVal val="1"/>
          <c:showCatName val="0"/>
          <c:showSerName val="0"/>
          <c:showPercent val="0"/>
          <c:showBubbleSize val="0"/>
        </c:dLbls>
        <c:dropLines>
          <c:spPr>
            <a:ln w="9525" cap="flat" cmpd="sng" algn="ctr">
              <a:solidFill>
                <a:schemeClr val="lt1">
                  <a:alpha val="40000"/>
                </a:schemeClr>
              </a:solidFill>
              <a:round/>
            </a:ln>
            <a:effectLst/>
          </c:spPr>
        </c:dropLines>
        <c:axId val="1569363839"/>
        <c:axId val="1569362399"/>
      </c:areaChart>
      <c:catAx>
        <c:axId val="1569363839"/>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1569362399"/>
        <c:crosses val="autoZero"/>
        <c:auto val="1"/>
        <c:lblAlgn val="ctr"/>
        <c:lblOffset val="100"/>
        <c:noMultiLvlLbl val="0"/>
      </c:catAx>
      <c:valAx>
        <c:axId val="1569362399"/>
        <c:scaling>
          <c:orientation val="minMax"/>
          <c:min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693638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image" Target="../media/image3.emf"/><Relationship Id="rId7" Type="http://schemas.openxmlformats.org/officeDocument/2006/relationships/chart" Target="../charts/chart6.xml"/><Relationship Id="rId2" Type="http://schemas.openxmlformats.org/officeDocument/2006/relationships/image" Target="../media/image2.emf"/><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image" Target="../media/image11.svg"/><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svg"/><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0</xdr:col>
      <xdr:colOff>1760220</xdr:colOff>
      <xdr:row>11</xdr:row>
      <xdr:rowOff>41910</xdr:rowOff>
    </xdr:from>
    <xdr:to>
      <xdr:col>8</xdr:col>
      <xdr:colOff>68580</xdr:colOff>
      <xdr:row>29</xdr:row>
      <xdr:rowOff>53340</xdr:rowOff>
    </xdr:to>
    <xdr:graphicFrame macro="">
      <xdr:nvGraphicFramePr>
        <xdr:cNvPr id="2" name="Chart 1">
          <a:extLst>
            <a:ext uri="{FF2B5EF4-FFF2-40B4-BE49-F238E27FC236}">
              <a16:creationId xmlns:a16="http://schemas.microsoft.com/office/drawing/2014/main" id="{B7314B49-AE64-2FBA-974B-860D382A84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845820</xdr:colOff>
      <xdr:row>3</xdr:row>
      <xdr:rowOff>156210</xdr:rowOff>
    </xdr:from>
    <xdr:to>
      <xdr:col>10</xdr:col>
      <xdr:colOff>76200</xdr:colOff>
      <xdr:row>19</xdr:row>
      <xdr:rowOff>30480</xdr:rowOff>
    </xdr:to>
    <xdr:graphicFrame macro="">
      <xdr:nvGraphicFramePr>
        <xdr:cNvPr id="2" name="Chart 1">
          <a:extLst>
            <a:ext uri="{FF2B5EF4-FFF2-40B4-BE49-F238E27FC236}">
              <a16:creationId xmlns:a16="http://schemas.microsoft.com/office/drawing/2014/main" id="{0E525C3A-7B3B-3241-A5AB-F0ADFC408A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929640</xdr:colOff>
      <xdr:row>1</xdr:row>
      <xdr:rowOff>179070</xdr:rowOff>
    </xdr:from>
    <xdr:to>
      <xdr:col>10</xdr:col>
      <xdr:colOff>297180</xdr:colOff>
      <xdr:row>16</xdr:row>
      <xdr:rowOff>179070</xdr:rowOff>
    </xdr:to>
    <xdr:graphicFrame macro="">
      <xdr:nvGraphicFramePr>
        <xdr:cNvPr id="3" name="Chart 2">
          <a:extLst>
            <a:ext uri="{FF2B5EF4-FFF2-40B4-BE49-F238E27FC236}">
              <a16:creationId xmlns:a16="http://schemas.microsoft.com/office/drawing/2014/main" id="{493741F4-CB9F-6021-3B53-CCC22BF600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xdr:row>
      <xdr:rowOff>179070</xdr:rowOff>
    </xdr:from>
    <xdr:to>
      <xdr:col>9</xdr:col>
      <xdr:colOff>152400</xdr:colOff>
      <xdr:row>16</xdr:row>
      <xdr:rowOff>179070</xdr:rowOff>
    </xdr:to>
    <xdr:graphicFrame macro="">
      <xdr:nvGraphicFramePr>
        <xdr:cNvPr id="3" name="Chart 2">
          <a:extLst>
            <a:ext uri="{FF2B5EF4-FFF2-40B4-BE49-F238E27FC236}">
              <a16:creationId xmlns:a16="http://schemas.microsoft.com/office/drawing/2014/main" id="{1598EE19-79CC-B51A-BB4C-BB5DF71C7F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373380</xdr:colOff>
      <xdr:row>4</xdr:row>
      <xdr:rowOff>38100</xdr:rowOff>
    </xdr:from>
    <xdr:to>
      <xdr:col>16</xdr:col>
      <xdr:colOff>373380</xdr:colOff>
      <xdr:row>17</xdr:row>
      <xdr:rowOff>127635</xdr:rowOff>
    </xdr:to>
    <mc:AlternateContent xmlns:mc="http://schemas.openxmlformats.org/markup-compatibility/2006" xmlns:a14="http://schemas.microsoft.com/office/drawing/2010/main">
      <mc:Choice Requires="a14">
        <xdr:graphicFrame macro="">
          <xdr:nvGraphicFramePr>
            <xdr:cNvPr id="2" name="State 1">
              <a:extLst>
                <a:ext uri="{FF2B5EF4-FFF2-40B4-BE49-F238E27FC236}">
                  <a16:creationId xmlns:a16="http://schemas.microsoft.com/office/drawing/2014/main" id="{7FEA968B-9D8C-18F3-97DA-CC2F6A1BA3FE}"/>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10744200" y="7696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20</xdr:row>
      <xdr:rowOff>7620</xdr:rowOff>
    </xdr:from>
    <xdr:to>
      <xdr:col>1</xdr:col>
      <xdr:colOff>2042160</xdr:colOff>
      <xdr:row>22</xdr:row>
      <xdr:rowOff>30480</xdr:rowOff>
    </xdr:to>
    <xdr:sp macro="" textlink="$B$19">
      <xdr:nvSpPr>
        <xdr:cNvPr id="5" name="Rectangle: Rounded Corners 4">
          <a:extLst>
            <a:ext uri="{FF2B5EF4-FFF2-40B4-BE49-F238E27FC236}">
              <a16:creationId xmlns:a16="http://schemas.microsoft.com/office/drawing/2014/main" id="{BE31A031-6336-0281-000C-01252E7E9A3F}"/>
            </a:ext>
          </a:extLst>
        </xdr:cNvPr>
        <xdr:cNvSpPr/>
      </xdr:nvSpPr>
      <xdr:spPr>
        <a:xfrm>
          <a:off x="861060" y="3665220"/>
          <a:ext cx="2042160" cy="3886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0CEA243-2206-4F4C-9064-7D67672CFDB3}" type="TxLink">
            <a:rPr lang="en-US" sz="1600" b="0" i="0" u="none" strike="noStrike">
              <a:solidFill>
                <a:schemeClr val="bg1"/>
              </a:solidFill>
              <a:latin typeface="Calibri"/>
              <a:ea typeface="Calibri"/>
              <a:cs typeface="Calibri"/>
            </a:rPr>
            <a:pPr algn="ctr"/>
            <a:t>₹ 12.23M</a:t>
          </a:fld>
          <a:endParaRPr lang="en-IN" sz="1600">
            <a:solidFill>
              <a:schemeClr val="bg1"/>
            </a:solidFill>
          </a:endParaRPr>
        </a:p>
      </xdr:txBody>
    </xdr:sp>
    <xdr:clientData/>
  </xdr:twoCellAnchor>
  <xdr:twoCellAnchor>
    <xdr:from>
      <xdr:col>4</xdr:col>
      <xdr:colOff>0</xdr:colOff>
      <xdr:row>20</xdr:row>
      <xdr:rowOff>7620</xdr:rowOff>
    </xdr:from>
    <xdr:to>
      <xdr:col>6</xdr:col>
      <xdr:colOff>228600</xdr:colOff>
      <xdr:row>22</xdr:row>
      <xdr:rowOff>30480</xdr:rowOff>
    </xdr:to>
    <xdr:sp macro="" textlink="$E$19">
      <xdr:nvSpPr>
        <xdr:cNvPr id="6" name="Rectangle: Rounded Corners 5">
          <a:extLst>
            <a:ext uri="{FF2B5EF4-FFF2-40B4-BE49-F238E27FC236}">
              <a16:creationId xmlns:a16="http://schemas.microsoft.com/office/drawing/2014/main" id="{6C58C917-F5F0-4D84-812B-9DF2B1EEB571}"/>
            </a:ext>
          </a:extLst>
        </xdr:cNvPr>
        <xdr:cNvSpPr/>
      </xdr:nvSpPr>
      <xdr:spPr>
        <a:xfrm>
          <a:off x="4381500" y="3665220"/>
          <a:ext cx="2042160" cy="3886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E48919C-3E21-4BC9-AE57-2DDE60319ED1}" type="TxLink">
            <a:rPr lang="en-US" sz="1600" b="0" i="0" u="none" strike="noStrike">
              <a:solidFill>
                <a:schemeClr val="bg1"/>
              </a:solidFill>
              <a:latin typeface="Calibri"/>
              <a:ea typeface="Calibri"/>
              <a:cs typeface="Calibri"/>
            </a:rPr>
            <a:pPr algn="ctr"/>
            <a:t># 53,179</a:t>
          </a:fld>
          <a:endParaRPr lang="en-IN" sz="1600">
            <a:solidFill>
              <a:schemeClr val="bg1"/>
            </a:solidFill>
          </a:endParaRPr>
        </a:p>
      </xdr:txBody>
    </xdr:sp>
    <xdr:clientData/>
  </xdr:twoCellAnchor>
  <xdr:twoCellAnchor>
    <xdr:from>
      <xdr:col>9</xdr:col>
      <xdr:colOff>7620</xdr:colOff>
      <xdr:row>20</xdr:row>
      <xdr:rowOff>7620</xdr:rowOff>
    </xdr:from>
    <xdr:to>
      <xdr:col>10</xdr:col>
      <xdr:colOff>0</xdr:colOff>
      <xdr:row>22</xdr:row>
      <xdr:rowOff>30480</xdr:rowOff>
    </xdr:to>
    <xdr:sp macro="" textlink="$K$19">
      <xdr:nvSpPr>
        <xdr:cNvPr id="7" name="Rectangle: Rounded Corners 6">
          <a:extLst>
            <a:ext uri="{FF2B5EF4-FFF2-40B4-BE49-F238E27FC236}">
              <a16:creationId xmlns:a16="http://schemas.microsoft.com/office/drawing/2014/main" id="{A053AAE2-56F0-4BAB-9CFF-834C34C3E1A1}"/>
            </a:ext>
          </a:extLst>
        </xdr:cNvPr>
        <xdr:cNvSpPr/>
      </xdr:nvSpPr>
      <xdr:spPr>
        <a:xfrm>
          <a:off x="8031480" y="3665220"/>
          <a:ext cx="2042160" cy="3886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41FA7AD-799C-4659-8222-B83A20CF9618}" type="TxLink">
            <a:rPr lang="en-US" sz="1600" b="0" i="0" u="none" strike="noStrike">
              <a:solidFill>
                <a:schemeClr val="bg1"/>
              </a:solidFill>
              <a:latin typeface="Calibri"/>
              <a:ea typeface="Calibri"/>
              <a:cs typeface="Calibri"/>
            </a:rPr>
            <a:pPr algn="ctr"/>
            <a:t>28.60%</a:t>
          </a:fld>
          <a:endParaRPr lang="en-US" sz="2400">
            <a:solidFill>
              <a:schemeClr val="bg1"/>
            </a:solidFill>
          </a:endParaRPr>
        </a:p>
      </xdr:txBody>
    </xdr:sp>
    <xdr:clientData/>
  </xdr:twoCellAnchor>
  <xdr:twoCellAnchor>
    <xdr:from>
      <xdr:col>14</xdr:col>
      <xdr:colOff>15240</xdr:colOff>
      <xdr:row>20</xdr:row>
      <xdr:rowOff>0</xdr:rowOff>
    </xdr:from>
    <xdr:to>
      <xdr:col>15</xdr:col>
      <xdr:colOff>7620</xdr:colOff>
      <xdr:row>22</xdr:row>
      <xdr:rowOff>22860</xdr:rowOff>
    </xdr:to>
    <xdr:sp macro="" textlink="$O$18">
      <xdr:nvSpPr>
        <xdr:cNvPr id="8" name="Rectangle: Rounded Corners 7">
          <a:extLst>
            <a:ext uri="{FF2B5EF4-FFF2-40B4-BE49-F238E27FC236}">
              <a16:creationId xmlns:a16="http://schemas.microsoft.com/office/drawing/2014/main" id="{4C6BE9BE-F509-47DA-AAD1-161CB2BDEE84}"/>
            </a:ext>
          </a:extLst>
        </xdr:cNvPr>
        <xdr:cNvSpPr/>
      </xdr:nvSpPr>
      <xdr:spPr>
        <a:xfrm>
          <a:off x="12527280" y="3657600"/>
          <a:ext cx="2042160" cy="3886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51283A7-1BC1-4591-A42C-B925D737713D}" type="TxLink">
            <a:rPr lang="en-US" sz="1600" b="0" i="0" u="none" strike="noStrike">
              <a:solidFill>
                <a:schemeClr val="bg1"/>
              </a:solidFill>
              <a:latin typeface="Calibri"/>
              <a:ea typeface="Calibri"/>
              <a:cs typeface="Calibri"/>
            </a:rPr>
            <a:pPr algn="ctr"/>
            <a:t># 286</a:t>
          </a:fld>
          <a:endParaRPr lang="en-IN" sz="1600">
            <a:solidFill>
              <a:schemeClr val="bg1"/>
            </a:solidFill>
          </a:endParaRPr>
        </a:p>
      </xdr:txBody>
    </xdr:sp>
    <xdr:clientData/>
  </xdr:twoCellAnchor>
  <xdr:twoCellAnchor>
    <xdr:from>
      <xdr:col>19</xdr:col>
      <xdr:colOff>0</xdr:colOff>
      <xdr:row>20</xdr:row>
      <xdr:rowOff>0</xdr:rowOff>
    </xdr:from>
    <xdr:to>
      <xdr:col>19</xdr:col>
      <xdr:colOff>2042160</xdr:colOff>
      <xdr:row>22</xdr:row>
      <xdr:rowOff>22860</xdr:rowOff>
    </xdr:to>
    <xdr:sp macro="" textlink="$T$13">
      <xdr:nvSpPr>
        <xdr:cNvPr id="9" name="Rectangle: Rounded Corners 8">
          <a:extLst>
            <a:ext uri="{FF2B5EF4-FFF2-40B4-BE49-F238E27FC236}">
              <a16:creationId xmlns:a16="http://schemas.microsoft.com/office/drawing/2014/main" id="{96CB52C6-68BD-4D99-8230-BB334F3573E3}"/>
            </a:ext>
          </a:extLst>
        </xdr:cNvPr>
        <xdr:cNvSpPr/>
      </xdr:nvSpPr>
      <xdr:spPr>
        <a:xfrm>
          <a:off x="17000220" y="3657600"/>
          <a:ext cx="2042160" cy="3886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668CE9-9E42-4A96-9CD7-E9E2626C835D}" type="TxLink">
            <a:rPr lang="en-US" sz="1600" b="0" i="0" u="none" strike="noStrike">
              <a:solidFill>
                <a:schemeClr val="bg1"/>
              </a:solidFill>
              <a:latin typeface="Calibri"/>
              <a:ea typeface="Calibri"/>
              <a:cs typeface="Calibri"/>
            </a:rPr>
            <a:pPr algn="ctr"/>
            <a:t>10.70%</a:t>
          </a:fld>
          <a:endParaRPr lang="en-IN" sz="16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128427</xdr:colOff>
      <xdr:row>34</xdr:row>
      <xdr:rowOff>152400</xdr:rowOff>
    </xdr:to>
    <xdr:sp macro="" textlink="">
      <xdr:nvSpPr>
        <xdr:cNvPr id="3" name="Rectangle 2">
          <a:extLst>
            <a:ext uri="{FF2B5EF4-FFF2-40B4-BE49-F238E27FC236}">
              <a16:creationId xmlns:a16="http://schemas.microsoft.com/office/drawing/2014/main" id="{9048299A-E4F4-26B6-1C84-233282DD9144}"/>
            </a:ext>
          </a:extLst>
        </xdr:cNvPr>
        <xdr:cNvSpPr/>
      </xdr:nvSpPr>
      <xdr:spPr>
        <a:xfrm>
          <a:off x="0" y="0"/>
          <a:ext cx="10462517" cy="6265524"/>
        </a:xfrm>
        <a:prstGeom prst="rect">
          <a:avLst/>
        </a:prstGeom>
        <a:effectLst>
          <a:outerShdw blurRad="63500" sx="102000" sy="102000" algn="ctr" rotWithShape="0">
            <a:prstClr val="black">
              <a:alpha val="40000"/>
            </a:prstClr>
          </a:outerShdw>
          <a:softEdge rad="12700"/>
        </a:effectLst>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84667</xdr:colOff>
      <xdr:row>0</xdr:row>
      <xdr:rowOff>100061</xdr:rowOff>
    </xdr:from>
    <xdr:to>
      <xdr:col>17</xdr:col>
      <xdr:colOff>84667</xdr:colOff>
      <xdr:row>2</xdr:row>
      <xdr:rowOff>92363</xdr:rowOff>
    </xdr:to>
    <xdr:sp macro="" textlink="">
      <xdr:nvSpPr>
        <xdr:cNvPr id="4" name="Rectangle: Rounded Corners 3">
          <a:extLst>
            <a:ext uri="{FF2B5EF4-FFF2-40B4-BE49-F238E27FC236}">
              <a16:creationId xmlns:a16="http://schemas.microsoft.com/office/drawing/2014/main" id="{DBFC465C-3CD1-8205-9B8A-0E00877188A5}"/>
            </a:ext>
          </a:extLst>
        </xdr:cNvPr>
        <xdr:cNvSpPr/>
      </xdr:nvSpPr>
      <xdr:spPr>
        <a:xfrm>
          <a:off x="84667" y="100061"/>
          <a:ext cx="10337030" cy="361757"/>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800" b="1" i="1"/>
            <a:t>Fraud</a:t>
          </a:r>
          <a:r>
            <a:rPr lang="en-IN" sz="1800" b="1" i="1" baseline="0"/>
            <a:t> Loss Reduction through Transaction Pattern &amp; Behavioral Analysis</a:t>
          </a:r>
          <a:endParaRPr lang="en-IN" sz="1800" b="1" i="1"/>
        </a:p>
      </xdr:txBody>
    </xdr:sp>
    <xdr:clientData/>
  </xdr:twoCellAnchor>
  <xdr:twoCellAnchor>
    <xdr:from>
      <xdr:col>0</xdr:col>
      <xdr:colOff>61575</xdr:colOff>
      <xdr:row>2</xdr:row>
      <xdr:rowOff>153938</xdr:rowOff>
    </xdr:from>
    <xdr:to>
      <xdr:col>3</xdr:col>
      <xdr:colOff>298173</xdr:colOff>
      <xdr:row>34</xdr:row>
      <xdr:rowOff>111303</xdr:rowOff>
    </xdr:to>
    <xdr:sp macro="" textlink="">
      <xdr:nvSpPr>
        <xdr:cNvPr id="5" name="Rectangle: Rounded Corners 4">
          <a:extLst>
            <a:ext uri="{FF2B5EF4-FFF2-40B4-BE49-F238E27FC236}">
              <a16:creationId xmlns:a16="http://schemas.microsoft.com/office/drawing/2014/main" id="{DA13E1A0-EE93-2DE1-21B6-F26BBF11F6D4}"/>
            </a:ext>
          </a:extLst>
        </xdr:cNvPr>
        <xdr:cNvSpPr/>
      </xdr:nvSpPr>
      <xdr:spPr>
        <a:xfrm>
          <a:off x="61575" y="513534"/>
          <a:ext cx="2060261" cy="5710893"/>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169332</xdr:colOff>
      <xdr:row>3</xdr:row>
      <xdr:rowOff>30787</xdr:rowOff>
    </xdr:from>
    <xdr:to>
      <xdr:col>3</xdr:col>
      <xdr:colOff>41412</xdr:colOff>
      <xdr:row>5</xdr:row>
      <xdr:rowOff>57978</xdr:rowOff>
    </xdr:to>
    <xdr:sp macro="" textlink="">
      <xdr:nvSpPr>
        <xdr:cNvPr id="6" name="Rectangle: Rounded Corners 5">
          <a:extLst>
            <a:ext uri="{FF2B5EF4-FFF2-40B4-BE49-F238E27FC236}">
              <a16:creationId xmlns:a16="http://schemas.microsoft.com/office/drawing/2014/main" id="{506CBF28-D87F-3E19-BB2D-F75E64B254A1}"/>
            </a:ext>
          </a:extLst>
        </xdr:cNvPr>
        <xdr:cNvSpPr/>
      </xdr:nvSpPr>
      <xdr:spPr>
        <a:xfrm>
          <a:off x="169332" y="577439"/>
          <a:ext cx="1710819" cy="391626"/>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l"/>
          <a:r>
            <a:rPr lang="en-IN" sz="1800">
              <a:latin typeface="+mn-lt"/>
            </a:rPr>
            <a:t>Filter</a:t>
          </a:r>
          <a:r>
            <a:rPr lang="en-IN" sz="1800" baseline="0">
              <a:latin typeface="+mn-lt"/>
            </a:rPr>
            <a:t> Panel</a:t>
          </a:r>
          <a:endParaRPr lang="en-IN" sz="1800">
            <a:latin typeface="+mn-lt"/>
          </a:endParaRPr>
        </a:p>
      </xdr:txBody>
    </xdr:sp>
    <xdr:clientData/>
  </xdr:twoCellAnchor>
  <xdr:twoCellAnchor editAs="oneCell">
    <xdr:from>
      <xdr:col>2</xdr:col>
      <xdr:colOff>343609</xdr:colOff>
      <xdr:row>3</xdr:row>
      <xdr:rowOff>144989</xdr:rowOff>
    </xdr:from>
    <xdr:to>
      <xdr:col>2</xdr:col>
      <xdr:colOff>524861</xdr:colOff>
      <xdr:row>4</xdr:row>
      <xdr:rowOff>124248</xdr:rowOff>
    </xdr:to>
    <xdr:pic>
      <xdr:nvPicPr>
        <xdr:cNvPr id="16" name="Picture 15">
          <a:extLst>
            <a:ext uri="{FF2B5EF4-FFF2-40B4-BE49-F238E27FC236}">
              <a16:creationId xmlns:a16="http://schemas.microsoft.com/office/drawing/2014/main" id="{91B1026F-3411-B2C9-34D7-A05AEFB0EC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69435" y="691641"/>
          <a:ext cx="181252" cy="161477"/>
        </a:xfrm>
        <a:prstGeom prst="rect">
          <a:avLst/>
        </a:prstGeom>
      </xdr:spPr>
    </xdr:pic>
    <xdr:clientData/>
  </xdr:twoCellAnchor>
  <xdr:twoCellAnchor>
    <xdr:from>
      <xdr:col>3</xdr:col>
      <xdr:colOff>347869</xdr:colOff>
      <xdr:row>2</xdr:row>
      <xdr:rowOff>165215</xdr:rowOff>
    </xdr:from>
    <xdr:to>
      <xdr:col>17</xdr:col>
      <xdr:colOff>68035</xdr:colOff>
      <xdr:row>9</xdr:row>
      <xdr:rowOff>21263</xdr:rowOff>
    </xdr:to>
    <xdr:sp macro="" textlink="">
      <xdr:nvSpPr>
        <xdr:cNvPr id="17" name="Rectangle: Rounded Corners 16">
          <a:extLst>
            <a:ext uri="{FF2B5EF4-FFF2-40B4-BE49-F238E27FC236}">
              <a16:creationId xmlns:a16="http://schemas.microsoft.com/office/drawing/2014/main" id="{D23FA08E-86D5-74C1-FEBB-BDC7CC7493DC}"/>
            </a:ext>
          </a:extLst>
        </xdr:cNvPr>
        <xdr:cNvSpPr/>
      </xdr:nvSpPr>
      <xdr:spPr>
        <a:xfrm>
          <a:off x="2171532" y="524811"/>
          <a:ext cx="8230593" cy="1114632"/>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414865</xdr:colOff>
      <xdr:row>3</xdr:row>
      <xdr:rowOff>42278</xdr:rowOff>
    </xdr:from>
    <xdr:to>
      <xdr:col>6</xdr:col>
      <xdr:colOff>581252</xdr:colOff>
      <xdr:row>8</xdr:row>
      <xdr:rowOff>141669</xdr:rowOff>
    </xdr:to>
    <xdr:sp macro="" textlink="">
      <xdr:nvSpPr>
        <xdr:cNvPr id="12" name="Rectangle: Rounded Corners 11">
          <a:extLst>
            <a:ext uri="{FF2B5EF4-FFF2-40B4-BE49-F238E27FC236}">
              <a16:creationId xmlns:a16="http://schemas.microsoft.com/office/drawing/2014/main" id="{C5425A3C-AA59-4F84-8DDB-EE786C4103BC}"/>
            </a:ext>
          </a:extLst>
        </xdr:cNvPr>
        <xdr:cNvSpPr/>
      </xdr:nvSpPr>
      <xdr:spPr>
        <a:xfrm>
          <a:off x="2253604" y="588930"/>
          <a:ext cx="2005126" cy="1010478"/>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452738</xdr:colOff>
      <xdr:row>5</xdr:row>
      <xdr:rowOff>156226</xdr:rowOff>
    </xdr:from>
    <xdr:to>
      <xdr:col>6</xdr:col>
      <xdr:colOff>551575</xdr:colOff>
      <xdr:row>8</xdr:row>
      <xdr:rowOff>57354</xdr:rowOff>
    </xdr:to>
    <xdr:sp macro="" textlink="KPIs!$B$19">
      <xdr:nvSpPr>
        <xdr:cNvPr id="13" name="Rectangle: Rounded Corners 12">
          <a:extLst>
            <a:ext uri="{FF2B5EF4-FFF2-40B4-BE49-F238E27FC236}">
              <a16:creationId xmlns:a16="http://schemas.microsoft.com/office/drawing/2014/main" id="{E964364D-E649-2F19-1491-22FD39A49342}"/>
            </a:ext>
          </a:extLst>
        </xdr:cNvPr>
        <xdr:cNvSpPr/>
      </xdr:nvSpPr>
      <xdr:spPr>
        <a:xfrm>
          <a:off x="2279625" y="1064887"/>
          <a:ext cx="1925724" cy="446325"/>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l"/>
          <a:fld id="{99DC063D-12F8-4F52-9A68-50FFF2130937}" type="TxLink">
            <a:rPr lang="en-US" sz="1600" b="0" i="0" u="none" strike="noStrike">
              <a:solidFill>
                <a:schemeClr val="bg1"/>
              </a:solidFill>
              <a:latin typeface="Calibri"/>
              <a:ea typeface="Calibri"/>
              <a:cs typeface="Calibri"/>
            </a:rPr>
            <a:pPr algn="l"/>
            <a:t>₹ 12.23M</a:t>
          </a:fld>
          <a:endParaRPr lang="en-IN" sz="1600">
            <a:solidFill>
              <a:schemeClr val="bg1"/>
            </a:solidFill>
          </a:endParaRPr>
        </a:p>
      </xdr:txBody>
    </xdr:sp>
    <xdr:clientData/>
  </xdr:twoCellAnchor>
  <xdr:twoCellAnchor>
    <xdr:from>
      <xdr:col>3</xdr:col>
      <xdr:colOff>449549</xdr:colOff>
      <xdr:row>3</xdr:row>
      <xdr:rowOff>108539</xdr:rowOff>
    </xdr:from>
    <xdr:to>
      <xdr:col>6</xdr:col>
      <xdr:colOff>538820</xdr:colOff>
      <xdr:row>5</xdr:row>
      <xdr:rowOff>100256</xdr:rowOff>
    </xdr:to>
    <xdr:sp macro="" textlink="">
      <xdr:nvSpPr>
        <xdr:cNvPr id="19" name="Rectangle: Rounded Corners 18">
          <a:extLst>
            <a:ext uri="{FF2B5EF4-FFF2-40B4-BE49-F238E27FC236}">
              <a16:creationId xmlns:a16="http://schemas.microsoft.com/office/drawing/2014/main" id="{F2D46091-758D-4D10-8F47-A9A8F5F655B3}"/>
            </a:ext>
          </a:extLst>
        </xdr:cNvPr>
        <xdr:cNvSpPr/>
      </xdr:nvSpPr>
      <xdr:spPr>
        <a:xfrm>
          <a:off x="2276436" y="653736"/>
          <a:ext cx="1916158" cy="355181"/>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600"/>
            <a:t>Total Amount</a:t>
          </a:r>
        </a:p>
      </xdr:txBody>
    </xdr:sp>
    <xdr:clientData/>
  </xdr:twoCellAnchor>
  <xdr:twoCellAnchor>
    <xdr:from>
      <xdr:col>3</xdr:col>
      <xdr:colOff>356152</xdr:colOff>
      <xdr:row>9</xdr:row>
      <xdr:rowOff>65947</xdr:rowOff>
    </xdr:from>
    <xdr:to>
      <xdr:col>10</xdr:col>
      <xdr:colOff>190500</xdr:colOff>
      <xdr:row>21</xdr:row>
      <xdr:rowOff>115956</xdr:rowOff>
    </xdr:to>
    <xdr:sp macro="" textlink="">
      <xdr:nvSpPr>
        <xdr:cNvPr id="2" name="Rectangle: Rounded Corners 1">
          <a:extLst>
            <a:ext uri="{FF2B5EF4-FFF2-40B4-BE49-F238E27FC236}">
              <a16:creationId xmlns:a16="http://schemas.microsoft.com/office/drawing/2014/main" id="{0FF116A4-6A71-59D6-9EC5-9E64A958D9E3}"/>
            </a:ext>
          </a:extLst>
        </xdr:cNvPr>
        <xdr:cNvSpPr/>
      </xdr:nvSpPr>
      <xdr:spPr>
        <a:xfrm>
          <a:off x="2194891" y="1705904"/>
          <a:ext cx="4124739" cy="2236617"/>
        </a:xfrm>
        <a:prstGeom prst="roundRect">
          <a:avLst/>
        </a:prstGeom>
        <a:gradFill>
          <a:gsLst>
            <a:gs pos="55000">
              <a:schemeClr val="tx1">
                <a:lumMod val="95000"/>
                <a:lumOff val="5000"/>
              </a:schemeClr>
            </a:gs>
            <a:gs pos="99000">
              <a:schemeClr val="tx1">
                <a:lumMod val="75000"/>
                <a:lumOff val="25000"/>
              </a:schemeClr>
            </a:gs>
          </a:gsLst>
          <a:lin ang="5400000" scaled="0"/>
        </a:gradFill>
        <a:ln>
          <a:noFill/>
        </a:ln>
        <a:effectLst>
          <a:outerShdw blurRad="57150" dist="19050" dir="5400000" algn="ctr" rotWithShape="0">
            <a:srgbClr val="000000">
              <a:alpha val="63000"/>
            </a:srgbClr>
          </a:outerShdw>
          <a:softEdge rad="0"/>
        </a:effectLst>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248479</xdr:colOff>
      <xdr:row>9</xdr:row>
      <xdr:rowOff>57665</xdr:rowOff>
    </xdr:from>
    <xdr:to>
      <xdr:col>17</xdr:col>
      <xdr:colOff>74141</xdr:colOff>
      <xdr:row>21</xdr:row>
      <xdr:rowOff>91109</xdr:rowOff>
    </xdr:to>
    <xdr:sp macro="" textlink="">
      <xdr:nvSpPr>
        <xdr:cNvPr id="7" name="Rectangle: Rounded Corners 6">
          <a:extLst>
            <a:ext uri="{FF2B5EF4-FFF2-40B4-BE49-F238E27FC236}">
              <a16:creationId xmlns:a16="http://schemas.microsoft.com/office/drawing/2014/main" id="{DD570E98-FB46-4E0B-BDC3-62EF3B7E84C4}"/>
            </a:ext>
          </a:extLst>
        </xdr:cNvPr>
        <xdr:cNvSpPr/>
      </xdr:nvSpPr>
      <xdr:spPr>
        <a:xfrm>
          <a:off x="6327355" y="1675845"/>
          <a:ext cx="4080876" cy="2191017"/>
        </a:xfrm>
        <a:prstGeom prst="roundRect">
          <a:avLst/>
        </a:prstGeom>
        <a:gradFill>
          <a:gsLst>
            <a:gs pos="99000">
              <a:schemeClr val="tx1">
                <a:lumMod val="75000"/>
                <a:lumOff val="25000"/>
              </a:schemeClr>
            </a:gs>
            <a:gs pos="55000">
              <a:schemeClr val="tx1">
                <a:lumMod val="95000"/>
                <a:lumOff val="5000"/>
              </a:schemeClr>
            </a:gs>
          </a:gsLst>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364435</xdr:colOff>
      <xdr:row>21</xdr:row>
      <xdr:rowOff>140805</xdr:rowOff>
    </xdr:from>
    <xdr:to>
      <xdr:col>9</xdr:col>
      <xdr:colOff>0</xdr:colOff>
      <xdr:row>34</xdr:row>
      <xdr:rowOff>76200</xdr:rowOff>
    </xdr:to>
    <xdr:sp macro="" textlink="">
      <xdr:nvSpPr>
        <xdr:cNvPr id="8" name="Rectangle: Rounded Corners 7">
          <a:extLst>
            <a:ext uri="{FF2B5EF4-FFF2-40B4-BE49-F238E27FC236}">
              <a16:creationId xmlns:a16="http://schemas.microsoft.com/office/drawing/2014/main" id="{FEAC9B81-BE2C-9475-5C1A-D2C3AB3FED3A}"/>
            </a:ext>
          </a:extLst>
        </xdr:cNvPr>
        <xdr:cNvSpPr/>
      </xdr:nvSpPr>
      <xdr:spPr>
        <a:xfrm>
          <a:off x="2193235" y="3981285"/>
          <a:ext cx="3293165" cy="2312835"/>
        </a:xfrm>
        <a:prstGeom prst="roundRect">
          <a:avLst/>
        </a:prstGeom>
        <a:gradFill>
          <a:gsLst>
            <a:gs pos="55000">
              <a:schemeClr val="tx1">
                <a:lumMod val="95000"/>
                <a:lumOff val="5000"/>
              </a:schemeClr>
            </a:gs>
            <a:gs pos="99000">
              <a:schemeClr val="tx1">
                <a:lumMod val="75000"/>
                <a:lumOff val="25000"/>
              </a:schemeClr>
            </a:gs>
          </a:gsLst>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51712</xdr:colOff>
      <xdr:row>21</xdr:row>
      <xdr:rowOff>179978</xdr:rowOff>
    </xdr:from>
    <xdr:to>
      <xdr:col>17</xdr:col>
      <xdr:colOff>72082</xdr:colOff>
      <xdr:row>34</xdr:row>
      <xdr:rowOff>99471</xdr:rowOff>
    </xdr:to>
    <xdr:sp macro="" textlink="">
      <xdr:nvSpPr>
        <xdr:cNvPr id="23" name="Rectangle: Rounded Corners 22">
          <a:extLst>
            <a:ext uri="{FF2B5EF4-FFF2-40B4-BE49-F238E27FC236}">
              <a16:creationId xmlns:a16="http://schemas.microsoft.com/office/drawing/2014/main" id="{E61553D8-0FCE-477F-A5AE-481CE85A4368}"/>
            </a:ext>
          </a:extLst>
        </xdr:cNvPr>
        <xdr:cNvSpPr/>
      </xdr:nvSpPr>
      <xdr:spPr>
        <a:xfrm>
          <a:off x="5519577" y="4072356"/>
          <a:ext cx="4880694" cy="2329061"/>
        </a:xfrm>
        <a:prstGeom prst="roundRect">
          <a:avLst/>
        </a:prstGeom>
        <a:gradFill>
          <a:gsLst>
            <a:gs pos="82000">
              <a:schemeClr val="tx1">
                <a:lumMod val="75000"/>
                <a:lumOff val="25000"/>
              </a:schemeClr>
            </a:gs>
            <a:gs pos="55000">
              <a:schemeClr val="tx1">
                <a:lumMod val="95000"/>
                <a:lumOff val="5000"/>
              </a:schemeClr>
            </a:gs>
          </a:gsLst>
        </a:gradFill>
        <a:ln>
          <a:no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516396</xdr:colOff>
      <xdr:row>9</xdr:row>
      <xdr:rowOff>138546</xdr:rowOff>
    </xdr:from>
    <xdr:to>
      <xdr:col>8</xdr:col>
      <xdr:colOff>453775</xdr:colOff>
      <xdr:row>11</xdr:row>
      <xdr:rowOff>119654</xdr:rowOff>
    </xdr:to>
    <xdr:sp macro="" textlink="">
      <xdr:nvSpPr>
        <xdr:cNvPr id="24" name="Rectangle: Rounded Corners 23">
          <a:extLst>
            <a:ext uri="{FF2B5EF4-FFF2-40B4-BE49-F238E27FC236}">
              <a16:creationId xmlns:a16="http://schemas.microsoft.com/office/drawing/2014/main" id="{39CFE090-41E5-D2F6-7042-2FEB18179DA0}"/>
            </a:ext>
          </a:extLst>
        </xdr:cNvPr>
        <xdr:cNvSpPr/>
      </xdr:nvSpPr>
      <xdr:spPr>
        <a:xfrm>
          <a:off x="2340059" y="1756726"/>
          <a:ext cx="2976817" cy="340703"/>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t"/>
        <a:lstStyle/>
        <a:p>
          <a:pPr algn="l"/>
          <a:r>
            <a:rPr lang="en-IN" sz="1400" baseline="0"/>
            <a:t>Transaction Amount by Category</a:t>
          </a:r>
          <a:endParaRPr lang="en-IN" sz="1400"/>
        </a:p>
      </xdr:txBody>
    </xdr:sp>
    <xdr:clientData/>
  </xdr:twoCellAnchor>
  <xdr:twoCellAnchor>
    <xdr:from>
      <xdr:col>10</xdr:col>
      <xdr:colOff>418170</xdr:colOff>
      <xdr:row>9</xdr:row>
      <xdr:rowOff>139566</xdr:rowOff>
    </xdr:from>
    <xdr:to>
      <xdr:col>14</xdr:col>
      <xdr:colOff>411873</xdr:colOff>
      <xdr:row>11</xdr:row>
      <xdr:rowOff>120674</xdr:rowOff>
    </xdr:to>
    <xdr:sp macro="" textlink="">
      <xdr:nvSpPr>
        <xdr:cNvPr id="25" name="Rectangle: Rounded Corners 24">
          <a:extLst>
            <a:ext uri="{FF2B5EF4-FFF2-40B4-BE49-F238E27FC236}">
              <a16:creationId xmlns:a16="http://schemas.microsoft.com/office/drawing/2014/main" id="{1923C22D-29B1-4F65-B6D2-47F1A25DFECB}"/>
            </a:ext>
          </a:extLst>
        </xdr:cNvPr>
        <xdr:cNvSpPr/>
      </xdr:nvSpPr>
      <xdr:spPr>
        <a:xfrm>
          <a:off x="6547300" y="1779523"/>
          <a:ext cx="2445356" cy="345542"/>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t"/>
        <a:lstStyle/>
        <a:p>
          <a:pPr algn="l"/>
          <a:r>
            <a:rPr lang="en-IN" sz="1400" baseline="0"/>
            <a:t>Frauds Cases by State</a:t>
          </a:r>
          <a:endParaRPr lang="en-IN" sz="1400"/>
        </a:p>
      </xdr:txBody>
    </xdr:sp>
    <xdr:clientData/>
  </xdr:twoCellAnchor>
  <xdr:twoCellAnchor>
    <xdr:from>
      <xdr:col>3</xdr:col>
      <xdr:colOff>521053</xdr:colOff>
      <xdr:row>22</xdr:row>
      <xdr:rowOff>52297</xdr:rowOff>
    </xdr:from>
    <xdr:to>
      <xdr:col>8</xdr:col>
      <xdr:colOff>333910</xdr:colOff>
      <xdr:row>24</xdr:row>
      <xdr:rowOff>33405</xdr:rowOff>
    </xdr:to>
    <xdr:sp macro="" textlink="">
      <xdr:nvSpPr>
        <xdr:cNvPr id="26" name="Rectangle: Rounded Corners 25">
          <a:extLst>
            <a:ext uri="{FF2B5EF4-FFF2-40B4-BE49-F238E27FC236}">
              <a16:creationId xmlns:a16="http://schemas.microsoft.com/office/drawing/2014/main" id="{B1290B5F-4FD4-4681-8F29-6821D6DEBEEC}"/>
            </a:ext>
          </a:extLst>
        </xdr:cNvPr>
        <xdr:cNvSpPr/>
      </xdr:nvSpPr>
      <xdr:spPr>
        <a:xfrm>
          <a:off x="2344716" y="4007848"/>
          <a:ext cx="2852295" cy="340703"/>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t"/>
        <a:lstStyle/>
        <a:p>
          <a:pPr algn="l"/>
          <a:r>
            <a:rPr lang="en-IN" sz="1400"/>
            <a:t>Fraud Risk</a:t>
          </a:r>
          <a:r>
            <a:rPr lang="en-IN" sz="1400" baseline="0"/>
            <a:t> Distribution by Risk Level</a:t>
          </a:r>
          <a:endParaRPr lang="en-IN" sz="1400"/>
        </a:p>
      </xdr:txBody>
    </xdr:sp>
    <xdr:clientData/>
  </xdr:twoCellAnchor>
  <xdr:twoCellAnchor>
    <xdr:from>
      <xdr:col>9</xdr:col>
      <xdr:colOff>214114</xdr:colOff>
      <xdr:row>22</xdr:row>
      <xdr:rowOff>69398</xdr:rowOff>
    </xdr:from>
    <xdr:to>
      <xdr:col>14</xdr:col>
      <xdr:colOff>428090</xdr:colOff>
      <xdr:row>24</xdr:row>
      <xdr:rowOff>50506</xdr:rowOff>
    </xdr:to>
    <xdr:sp macro="" textlink="">
      <xdr:nvSpPr>
        <xdr:cNvPr id="27" name="Rectangle: Rounded Corners 26">
          <a:extLst>
            <a:ext uri="{FF2B5EF4-FFF2-40B4-BE49-F238E27FC236}">
              <a16:creationId xmlns:a16="http://schemas.microsoft.com/office/drawing/2014/main" id="{ADB5BBE5-CEC1-4E38-97B7-64DBA6DF2FBF}"/>
            </a:ext>
          </a:extLst>
        </xdr:cNvPr>
        <xdr:cNvSpPr/>
      </xdr:nvSpPr>
      <xdr:spPr>
        <a:xfrm>
          <a:off x="5685103" y="4024949"/>
          <a:ext cx="3253414" cy="340703"/>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t"/>
        <a:lstStyle/>
        <a:p>
          <a:pPr algn="l"/>
          <a:r>
            <a:rPr lang="en-IN" sz="1400"/>
            <a:t>Monthly Fraudlant</a:t>
          </a:r>
          <a:r>
            <a:rPr lang="en-IN" sz="1400" baseline="0"/>
            <a:t> Trnasaction Trend</a:t>
          </a:r>
          <a:endParaRPr lang="en-IN" sz="1400"/>
        </a:p>
      </xdr:txBody>
    </xdr:sp>
    <xdr:clientData/>
  </xdr:twoCellAnchor>
  <xdr:twoCellAnchor>
    <xdr:from>
      <xdr:col>7</xdr:col>
      <xdr:colOff>3350</xdr:colOff>
      <xdr:row>3</xdr:row>
      <xdr:rowOff>36319</xdr:rowOff>
    </xdr:from>
    <xdr:to>
      <xdr:col>10</xdr:col>
      <xdr:colOff>169737</xdr:colOff>
      <xdr:row>8</xdr:row>
      <xdr:rowOff>135710</xdr:rowOff>
    </xdr:to>
    <xdr:sp macro="" textlink="">
      <xdr:nvSpPr>
        <xdr:cNvPr id="28" name="Rectangle: Rounded Corners 27">
          <a:extLst>
            <a:ext uri="{FF2B5EF4-FFF2-40B4-BE49-F238E27FC236}">
              <a16:creationId xmlns:a16="http://schemas.microsoft.com/office/drawing/2014/main" id="{DC253F49-F146-4F56-88DA-1F94A1289676}"/>
            </a:ext>
          </a:extLst>
        </xdr:cNvPr>
        <xdr:cNvSpPr/>
      </xdr:nvSpPr>
      <xdr:spPr>
        <a:xfrm>
          <a:off x="4257046" y="586116"/>
          <a:ext cx="1989400" cy="1015721"/>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41223</xdr:colOff>
      <xdr:row>5</xdr:row>
      <xdr:rowOff>150267</xdr:rowOff>
    </xdr:from>
    <xdr:to>
      <xdr:col>10</xdr:col>
      <xdr:colOff>140060</xdr:colOff>
      <xdr:row>8</xdr:row>
      <xdr:rowOff>51395</xdr:rowOff>
    </xdr:to>
    <xdr:sp macro="" textlink="KPIs!$E$19">
      <xdr:nvSpPr>
        <xdr:cNvPr id="29" name="Rectangle: Rounded Corners 28">
          <a:extLst>
            <a:ext uri="{FF2B5EF4-FFF2-40B4-BE49-F238E27FC236}">
              <a16:creationId xmlns:a16="http://schemas.microsoft.com/office/drawing/2014/main" id="{4FFBDD15-5826-4A29-9E4B-7FDA946B43E2}"/>
            </a:ext>
          </a:extLst>
        </xdr:cNvPr>
        <xdr:cNvSpPr/>
      </xdr:nvSpPr>
      <xdr:spPr>
        <a:xfrm>
          <a:off x="4294919" y="1066596"/>
          <a:ext cx="1921850" cy="450926"/>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l"/>
          <a:fld id="{B12681C1-30D2-47C2-99D8-DA19C3C0F61D}" type="TxLink">
            <a:rPr lang="en-US" sz="1600" b="0" i="0" u="none" strike="noStrike">
              <a:solidFill>
                <a:schemeClr val="bg1"/>
              </a:solidFill>
              <a:latin typeface="Calibri"/>
              <a:ea typeface="Calibri"/>
              <a:cs typeface="Calibri"/>
            </a:rPr>
            <a:pPr algn="l"/>
            <a:t># 53,179</a:t>
          </a:fld>
          <a:endParaRPr lang="en-IN" sz="2400">
            <a:solidFill>
              <a:schemeClr val="bg1"/>
            </a:solidFill>
          </a:endParaRPr>
        </a:p>
      </xdr:txBody>
    </xdr:sp>
    <xdr:clientData/>
  </xdr:twoCellAnchor>
  <xdr:twoCellAnchor>
    <xdr:from>
      <xdr:col>7</xdr:col>
      <xdr:colOff>38034</xdr:colOff>
      <xdr:row>3</xdr:row>
      <xdr:rowOff>102580</xdr:rowOff>
    </xdr:from>
    <xdr:to>
      <xdr:col>10</xdr:col>
      <xdr:colOff>127305</xdr:colOff>
      <xdr:row>5</xdr:row>
      <xdr:rowOff>94297</xdr:rowOff>
    </xdr:to>
    <xdr:sp macro="" textlink="">
      <xdr:nvSpPr>
        <xdr:cNvPr id="30" name="Rectangle: Rounded Corners 29">
          <a:extLst>
            <a:ext uri="{FF2B5EF4-FFF2-40B4-BE49-F238E27FC236}">
              <a16:creationId xmlns:a16="http://schemas.microsoft.com/office/drawing/2014/main" id="{3462233A-15FC-4B7D-8A8A-511D2956ED25}"/>
            </a:ext>
          </a:extLst>
        </xdr:cNvPr>
        <xdr:cNvSpPr/>
      </xdr:nvSpPr>
      <xdr:spPr>
        <a:xfrm>
          <a:off x="4291730" y="652377"/>
          <a:ext cx="1912284" cy="358249"/>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600" baseline="0"/>
            <a:t>Fraud Risk Score</a:t>
          </a:r>
          <a:endParaRPr lang="en-US" sz="1600"/>
        </a:p>
      </xdr:txBody>
    </xdr:sp>
    <xdr:clientData/>
  </xdr:twoCellAnchor>
  <xdr:twoCellAnchor>
    <xdr:from>
      <xdr:col>10</xdr:col>
      <xdr:colOff>208833</xdr:colOff>
      <xdr:row>3</xdr:row>
      <xdr:rowOff>42712</xdr:rowOff>
    </xdr:from>
    <xdr:to>
      <xdr:col>13</xdr:col>
      <xdr:colOff>375220</xdr:colOff>
      <xdr:row>8</xdr:row>
      <xdr:rowOff>142103</xdr:rowOff>
    </xdr:to>
    <xdr:sp macro="" textlink="">
      <xdr:nvSpPr>
        <xdr:cNvPr id="31" name="Rectangle: Rounded Corners 30">
          <a:extLst>
            <a:ext uri="{FF2B5EF4-FFF2-40B4-BE49-F238E27FC236}">
              <a16:creationId xmlns:a16="http://schemas.microsoft.com/office/drawing/2014/main" id="{CB2CDCB8-6E7D-4E16-8BBA-998663258E1C}"/>
            </a:ext>
          </a:extLst>
        </xdr:cNvPr>
        <xdr:cNvSpPr/>
      </xdr:nvSpPr>
      <xdr:spPr>
        <a:xfrm>
          <a:off x="6285542" y="592509"/>
          <a:ext cx="1989400" cy="1015721"/>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246706</xdr:colOff>
      <xdr:row>5</xdr:row>
      <xdr:rowOff>156660</xdr:rowOff>
    </xdr:from>
    <xdr:to>
      <xdr:col>13</xdr:col>
      <xdr:colOff>345543</xdr:colOff>
      <xdr:row>8</xdr:row>
      <xdr:rowOff>57788</xdr:rowOff>
    </xdr:to>
    <xdr:sp macro="" textlink="KPIs!$K$19">
      <xdr:nvSpPr>
        <xdr:cNvPr id="32" name="Rectangle: Rounded Corners 31">
          <a:extLst>
            <a:ext uri="{FF2B5EF4-FFF2-40B4-BE49-F238E27FC236}">
              <a16:creationId xmlns:a16="http://schemas.microsoft.com/office/drawing/2014/main" id="{6E7A0FCD-EE47-452B-95CC-14291B2F984D}"/>
            </a:ext>
          </a:extLst>
        </xdr:cNvPr>
        <xdr:cNvSpPr/>
      </xdr:nvSpPr>
      <xdr:spPr>
        <a:xfrm>
          <a:off x="6323415" y="1072989"/>
          <a:ext cx="1921850" cy="450926"/>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l"/>
          <a:fld id="{FFFD39E9-23BB-480A-852E-3136A88C485E}" type="TxLink">
            <a:rPr lang="en-US" sz="1600" b="0" i="0" u="none" strike="noStrike">
              <a:solidFill>
                <a:schemeClr val="bg1"/>
              </a:solidFill>
              <a:latin typeface="Calibri"/>
              <a:ea typeface="Calibri"/>
              <a:cs typeface="Calibri"/>
            </a:rPr>
            <a:pPr algn="l"/>
            <a:t>28.60%</a:t>
          </a:fld>
          <a:endParaRPr lang="en-IN" sz="2400">
            <a:solidFill>
              <a:schemeClr val="bg1"/>
            </a:solidFill>
          </a:endParaRPr>
        </a:p>
      </xdr:txBody>
    </xdr:sp>
    <xdr:clientData/>
  </xdr:twoCellAnchor>
  <xdr:twoCellAnchor>
    <xdr:from>
      <xdr:col>10</xdr:col>
      <xdr:colOff>243517</xdr:colOff>
      <xdr:row>3</xdr:row>
      <xdr:rowOff>108973</xdr:rowOff>
    </xdr:from>
    <xdr:to>
      <xdr:col>13</xdr:col>
      <xdr:colOff>332788</xdr:colOff>
      <xdr:row>5</xdr:row>
      <xdr:rowOff>100690</xdr:rowOff>
    </xdr:to>
    <xdr:sp macro="" textlink="">
      <xdr:nvSpPr>
        <xdr:cNvPr id="33" name="Rectangle: Rounded Corners 32">
          <a:extLst>
            <a:ext uri="{FF2B5EF4-FFF2-40B4-BE49-F238E27FC236}">
              <a16:creationId xmlns:a16="http://schemas.microsoft.com/office/drawing/2014/main" id="{9949ED0A-08D6-4EC0-B2DA-3EBAAFBC7B5B}"/>
            </a:ext>
          </a:extLst>
        </xdr:cNvPr>
        <xdr:cNvSpPr/>
      </xdr:nvSpPr>
      <xdr:spPr>
        <a:xfrm>
          <a:off x="6320226" y="658770"/>
          <a:ext cx="1912284" cy="358249"/>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600"/>
            <a:t>Fraud Rate</a:t>
          </a:r>
          <a:r>
            <a:rPr lang="en-US" sz="1600" baseline="0"/>
            <a:t> %</a:t>
          </a:r>
          <a:endParaRPr lang="en-US" sz="1600"/>
        </a:p>
      </xdr:txBody>
    </xdr:sp>
    <xdr:clientData/>
  </xdr:twoCellAnchor>
  <xdr:twoCellAnchor>
    <xdr:from>
      <xdr:col>13</xdr:col>
      <xdr:colOff>429727</xdr:colOff>
      <xdr:row>3</xdr:row>
      <xdr:rowOff>48477</xdr:rowOff>
    </xdr:from>
    <xdr:to>
      <xdr:col>16</xdr:col>
      <xdr:colOff>596114</xdr:colOff>
      <xdr:row>8</xdr:row>
      <xdr:rowOff>147868</xdr:rowOff>
    </xdr:to>
    <xdr:sp macro="" textlink="">
      <xdr:nvSpPr>
        <xdr:cNvPr id="34" name="Rectangle: Rounded Corners 33">
          <a:extLst>
            <a:ext uri="{FF2B5EF4-FFF2-40B4-BE49-F238E27FC236}">
              <a16:creationId xmlns:a16="http://schemas.microsoft.com/office/drawing/2014/main" id="{188029E9-DC7F-494C-A358-B5939B96AF71}"/>
            </a:ext>
          </a:extLst>
        </xdr:cNvPr>
        <xdr:cNvSpPr/>
      </xdr:nvSpPr>
      <xdr:spPr>
        <a:xfrm>
          <a:off x="8332266" y="587870"/>
          <a:ext cx="1990050" cy="998380"/>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459038</xdr:colOff>
      <xdr:row>5</xdr:row>
      <xdr:rowOff>153864</xdr:rowOff>
    </xdr:from>
    <xdr:to>
      <xdr:col>16</xdr:col>
      <xdr:colOff>557875</xdr:colOff>
      <xdr:row>8</xdr:row>
      <xdr:rowOff>54992</xdr:rowOff>
    </xdr:to>
    <xdr:sp macro="" textlink="KPIs!$O$18">
      <xdr:nvSpPr>
        <xdr:cNvPr id="35" name="Rectangle: Rounded Corners 34">
          <a:extLst>
            <a:ext uri="{FF2B5EF4-FFF2-40B4-BE49-F238E27FC236}">
              <a16:creationId xmlns:a16="http://schemas.microsoft.com/office/drawing/2014/main" id="{5FFCBE56-8035-4281-A8CA-AC36C5C48B62}"/>
            </a:ext>
          </a:extLst>
        </xdr:cNvPr>
        <xdr:cNvSpPr/>
      </xdr:nvSpPr>
      <xdr:spPr>
        <a:xfrm>
          <a:off x="8361577" y="1052853"/>
          <a:ext cx="1922500" cy="440521"/>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lvl="0" algn="l"/>
          <a:fld id="{19F318C7-9EF9-47E5-8B5D-CA3B90F10806}" type="TxLink">
            <a:rPr lang="en-US" sz="1600" b="0" i="0" u="none" strike="noStrike">
              <a:solidFill>
                <a:schemeClr val="bg1"/>
              </a:solidFill>
              <a:latin typeface="Calibri"/>
              <a:ea typeface="Calibri"/>
              <a:cs typeface="Calibri"/>
            </a:rPr>
            <a:pPr lvl="0" algn="l"/>
            <a:t># 286</a:t>
          </a:fld>
          <a:endParaRPr lang="en-IN" sz="2400">
            <a:solidFill>
              <a:schemeClr val="bg1"/>
            </a:solidFill>
          </a:endParaRPr>
        </a:p>
      </xdr:txBody>
    </xdr:sp>
    <xdr:clientData/>
  </xdr:twoCellAnchor>
  <xdr:twoCellAnchor>
    <xdr:from>
      <xdr:col>13</xdr:col>
      <xdr:colOff>464411</xdr:colOff>
      <xdr:row>3</xdr:row>
      <xdr:rowOff>114738</xdr:rowOff>
    </xdr:from>
    <xdr:to>
      <xdr:col>16</xdr:col>
      <xdr:colOff>553682</xdr:colOff>
      <xdr:row>5</xdr:row>
      <xdr:rowOff>106455</xdr:rowOff>
    </xdr:to>
    <xdr:sp macro="" textlink="">
      <xdr:nvSpPr>
        <xdr:cNvPr id="36" name="Rectangle: Rounded Corners 35">
          <a:extLst>
            <a:ext uri="{FF2B5EF4-FFF2-40B4-BE49-F238E27FC236}">
              <a16:creationId xmlns:a16="http://schemas.microsoft.com/office/drawing/2014/main" id="{40FFD742-BF40-43AA-A397-88780CA30108}"/>
            </a:ext>
          </a:extLst>
        </xdr:cNvPr>
        <xdr:cNvSpPr/>
      </xdr:nvSpPr>
      <xdr:spPr>
        <a:xfrm>
          <a:off x="8366950" y="654131"/>
          <a:ext cx="1912934" cy="351313"/>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600"/>
            <a:t>Total</a:t>
          </a:r>
          <a:r>
            <a:rPr lang="en-US" sz="1600" baseline="0"/>
            <a:t> Frauds Cases</a:t>
          </a:r>
          <a:endParaRPr lang="en-US" sz="1600"/>
        </a:p>
      </xdr:txBody>
    </xdr:sp>
    <xdr:clientData/>
  </xdr:twoCellAnchor>
  <mc:AlternateContent xmlns:mc="http://schemas.openxmlformats.org/markup-compatibility/2006">
    <mc:Choice xmlns:a14="http://schemas.microsoft.com/office/drawing/2010/main" Requires="a14">
      <xdr:twoCellAnchor editAs="oneCell">
        <xdr:from>
          <xdr:col>5</xdr:col>
          <xdr:colOff>239942</xdr:colOff>
          <xdr:row>6</xdr:row>
          <xdr:rowOff>74659</xdr:rowOff>
        </xdr:from>
        <xdr:to>
          <xdr:col>6</xdr:col>
          <xdr:colOff>460557</xdr:colOff>
          <xdr:row>7</xdr:row>
          <xdr:rowOff>133786</xdr:rowOff>
        </xdr:to>
        <xdr:pic>
          <xdr:nvPicPr>
            <xdr:cNvPr id="14" name="Picture 13">
              <a:extLst>
                <a:ext uri="{FF2B5EF4-FFF2-40B4-BE49-F238E27FC236}">
                  <a16:creationId xmlns:a16="http://schemas.microsoft.com/office/drawing/2014/main" id="{6A26B6BE-BDBA-988B-A860-66576AE298E0}"/>
                </a:ext>
              </a:extLst>
            </xdr:cNvPr>
            <xdr:cNvPicPr>
              <a:picLocks noChangeAspect="1" noChangeArrowheads="1"/>
              <a:extLst>
                <a:ext uri="{84589F7E-364E-4C9E-8A38-B11213B215E9}">
                  <a14:cameraTool cellRange="'MOM KPIs'!$C$19" spid="_x0000_s6220"/>
                </a:ext>
              </a:extLst>
            </xdr:cNvPicPr>
          </xdr:nvPicPr>
          <xdr:blipFill>
            <a:blip xmlns:r="http://schemas.openxmlformats.org/officeDocument/2006/relationships" r:embed="rId2"/>
            <a:srcRect/>
            <a:stretch>
              <a:fillRect/>
            </a:stretch>
          </xdr:blipFill>
          <xdr:spPr bwMode="auto">
            <a:xfrm>
              <a:off x="3293759" y="1156583"/>
              <a:ext cx="831378" cy="23944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452689</xdr:colOff>
          <xdr:row>6</xdr:row>
          <xdr:rowOff>72107</xdr:rowOff>
        </xdr:from>
        <xdr:to>
          <xdr:col>10</xdr:col>
          <xdr:colOff>59695</xdr:colOff>
          <xdr:row>7</xdr:row>
          <xdr:rowOff>126415</xdr:rowOff>
        </xdr:to>
        <xdr:pic>
          <xdr:nvPicPr>
            <xdr:cNvPr id="15" name="Picture 14">
              <a:extLst>
                <a:ext uri="{FF2B5EF4-FFF2-40B4-BE49-F238E27FC236}">
                  <a16:creationId xmlns:a16="http://schemas.microsoft.com/office/drawing/2014/main" id="{DCFFAD3E-0823-D251-D834-105CB3F7AAFB}"/>
                </a:ext>
              </a:extLst>
            </xdr:cNvPr>
            <xdr:cNvPicPr>
              <a:picLocks noChangeAspect="1" noChangeArrowheads="1"/>
              <a:extLst>
                <a:ext uri="{84589F7E-364E-4C9E-8A38-B11213B215E9}">
                  <a14:cameraTool cellRange="'MOM KPIs'!$D$19" spid="_x0000_s6221"/>
                </a:ext>
              </a:extLst>
            </xdr:cNvPicPr>
          </xdr:nvPicPr>
          <xdr:blipFill>
            <a:blip xmlns:r="http://schemas.openxmlformats.org/officeDocument/2006/relationships" r:embed="rId3"/>
            <a:srcRect/>
            <a:stretch>
              <a:fillRect/>
            </a:stretch>
          </xdr:blipFill>
          <xdr:spPr bwMode="auto">
            <a:xfrm>
              <a:off x="5340726" y="1167701"/>
              <a:ext cx="829015" cy="23690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39583</xdr:colOff>
          <xdr:row>6</xdr:row>
          <xdr:rowOff>76693</xdr:rowOff>
        </xdr:from>
        <xdr:to>
          <xdr:col>13</xdr:col>
          <xdr:colOff>259772</xdr:colOff>
          <xdr:row>7</xdr:row>
          <xdr:rowOff>126176</xdr:rowOff>
        </xdr:to>
        <xdr:pic>
          <xdr:nvPicPr>
            <xdr:cNvPr id="20" name="Picture 19">
              <a:extLst>
                <a:ext uri="{FF2B5EF4-FFF2-40B4-BE49-F238E27FC236}">
                  <a16:creationId xmlns:a16="http://schemas.microsoft.com/office/drawing/2014/main" id="{844D31E4-9059-F3A5-586A-C9AD6626A945}"/>
                </a:ext>
              </a:extLst>
            </xdr:cNvPr>
            <xdr:cNvPicPr>
              <a:picLocks noChangeAspect="1" noChangeArrowheads="1"/>
              <a:extLst>
                <a:ext uri="{84589F7E-364E-4C9E-8A38-B11213B215E9}">
                  <a14:cameraTool cellRange="'MOM KPIs'!$E$19" spid="_x0000_s6222"/>
                </a:ext>
              </a:extLst>
            </xdr:cNvPicPr>
          </xdr:nvPicPr>
          <xdr:blipFill>
            <a:blip xmlns:r="http://schemas.openxmlformats.org/officeDocument/2006/relationships" r:embed="rId4"/>
            <a:srcRect/>
            <a:stretch>
              <a:fillRect/>
            </a:stretch>
          </xdr:blipFill>
          <xdr:spPr bwMode="auto">
            <a:xfrm>
              <a:off x="7342908" y="1175161"/>
              <a:ext cx="828799" cy="2325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260817</xdr:colOff>
          <xdr:row>6</xdr:row>
          <xdr:rowOff>81827</xdr:rowOff>
        </xdr:from>
        <xdr:to>
          <xdr:col>16</xdr:col>
          <xdr:colOff>480724</xdr:colOff>
          <xdr:row>7</xdr:row>
          <xdr:rowOff>122738</xdr:rowOff>
        </xdr:to>
        <xdr:pic>
          <xdr:nvPicPr>
            <xdr:cNvPr id="22" name="Picture 21">
              <a:extLst>
                <a:ext uri="{FF2B5EF4-FFF2-40B4-BE49-F238E27FC236}">
                  <a16:creationId xmlns:a16="http://schemas.microsoft.com/office/drawing/2014/main" id="{5F3536F9-F62D-EBD7-B6B0-BD61DE5EEF44}"/>
                </a:ext>
              </a:extLst>
            </xdr:cNvPr>
            <xdr:cNvPicPr>
              <a:picLocks noChangeAspect="1" noChangeArrowheads="1"/>
              <a:extLst>
                <a:ext uri="{84589F7E-364E-4C9E-8A38-B11213B215E9}">
                  <a14:cameraTool cellRange="'MOM KPIs'!$F$19" spid="_x0000_s6223"/>
                </a:ext>
              </a:extLst>
            </xdr:cNvPicPr>
          </xdr:nvPicPr>
          <xdr:blipFill>
            <a:blip xmlns:r="http://schemas.openxmlformats.org/officeDocument/2006/relationships" r:embed="rId5"/>
            <a:srcRect/>
            <a:stretch>
              <a:fillRect/>
            </a:stretch>
          </xdr:blipFill>
          <xdr:spPr bwMode="auto">
            <a:xfrm>
              <a:off x="9389475" y="1186471"/>
              <a:ext cx="828484" cy="22501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xdr:col>
      <xdr:colOff>514008</xdr:colOff>
      <xdr:row>12</xdr:row>
      <xdr:rowOff>2609</xdr:rowOff>
    </xdr:from>
    <xdr:to>
      <xdr:col>9</xdr:col>
      <xdr:colOff>597647</xdr:colOff>
      <xdr:row>21</xdr:row>
      <xdr:rowOff>52294</xdr:rowOff>
    </xdr:to>
    <xdr:graphicFrame macro="">
      <xdr:nvGraphicFramePr>
        <xdr:cNvPr id="37" name="Chart 36">
          <a:extLst>
            <a:ext uri="{FF2B5EF4-FFF2-40B4-BE49-F238E27FC236}">
              <a16:creationId xmlns:a16="http://schemas.microsoft.com/office/drawing/2014/main" id="{2EA62D4D-4FA7-4EC0-9075-33FA3B0677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500529</xdr:colOff>
      <xdr:row>24</xdr:row>
      <xdr:rowOff>74705</xdr:rowOff>
    </xdr:from>
    <xdr:to>
      <xdr:col>8</xdr:col>
      <xdr:colOff>403412</xdr:colOff>
      <xdr:row>33</xdr:row>
      <xdr:rowOff>106680</xdr:rowOff>
    </xdr:to>
    <xdr:graphicFrame macro="">
      <xdr:nvGraphicFramePr>
        <xdr:cNvPr id="38" name="Chart 37">
          <a:extLst>
            <a:ext uri="{FF2B5EF4-FFF2-40B4-BE49-F238E27FC236}">
              <a16:creationId xmlns:a16="http://schemas.microsoft.com/office/drawing/2014/main" id="{0A87EA79-1561-4551-8927-0611C20FCF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412833</xdr:colOff>
      <xdr:row>11</xdr:row>
      <xdr:rowOff>157288</xdr:rowOff>
    </xdr:from>
    <xdr:to>
      <xdr:col>16</xdr:col>
      <xdr:colOff>567764</xdr:colOff>
      <xdr:row>20</xdr:row>
      <xdr:rowOff>127001</xdr:rowOff>
    </xdr:to>
    <xdr:graphicFrame macro="">
      <xdr:nvGraphicFramePr>
        <xdr:cNvPr id="39" name="Chart 38">
          <a:extLst>
            <a:ext uri="{FF2B5EF4-FFF2-40B4-BE49-F238E27FC236}">
              <a16:creationId xmlns:a16="http://schemas.microsoft.com/office/drawing/2014/main" id="{133B8C68-336B-452A-87B7-6959D58DF5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156495</xdr:colOff>
      <xdr:row>5</xdr:row>
      <xdr:rowOff>139549</xdr:rowOff>
    </xdr:from>
    <xdr:to>
      <xdr:col>3</xdr:col>
      <xdr:colOff>142847</xdr:colOff>
      <xdr:row>11</xdr:row>
      <xdr:rowOff>121921</xdr:rowOff>
    </xdr:to>
    <mc:AlternateContent xmlns:mc="http://schemas.openxmlformats.org/markup-compatibility/2006" xmlns:a14="http://schemas.microsoft.com/office/drawing/2010/main">
      <mc:Choice Requires="a14">
        <xdr:graphicFrame macro="">
          <xdr:nvGraphicFramePr>
            <xdr:cNvPr id="41" name="Fraud Type">
              <a:extLst>
                <a:ext uri="{FF2B5EF4-FFF2-40B4-BE49-F238E27FC236}">
                  <a16:creationId xmlns:a16="http://schemas.microsoft.com/office/drawing/2014/main" id="{297493D4-3407-B0DC-6F64-6C59388AA78B}"/>
                </a:ext>
              </a:extLst>
            </xdr:cNvPr>
            <xdr:cNvGraphicFramePr/>
          </xdr:nvGraphicFramePr>
          <xdr:xfrm>
            <a:off x="0" y="0"/>
            <a:ext cx="0" cy="0"/>
          </xdr:xfrm>
          <a:graphic>
            <a:graphicData uri="http://schemas.microsoft.com/office/drawing/2010/slicer">
              <sle:slicer xmlns:sle="http://schemas.microsoft.com/office/drawing/2010/slicer" name="Fraud Type"/>
            </a:graphicData>
          </a:graphic>
        </xdr:graphicFrame>
      </mc:Choice>
      <mc:Fallback xmlns="">
        <xdr:sp macro="" textlink="">
          <xdr:nvSpPr>
            <xdr:cNvPr id="0" name=""/>
            <xdr:cNvSpPr>
              <a:spLocks noTextEdit="1"/>
            </xdr:cNvSpPr>
          </xdr:nvSpPr>
          <xdr:spPr>
            <a:xfrm>
              <a:off x="156495" y="1036019"/>
              <a:ext cx="1801705" cy="12896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175687</xdr:colOff>
      <xdr:row>26</xdr:row>
      <xdr:rowOff>108374</xdr:rowOff>
    </xdr:from>
    <xdr:to>
      <xdr:col>3</xdr:col>
      <xdr:colOff>101600</xdr:colOff>
      <xdr:row>34</xdr:row>
      <xdr:rowOff>1813</xdr:rowOff>
    </xdr:to>
    <mc:AlternateContent xmlns:mc="http://schemas.openxmlformats.org/markup-compatibility/2006" xmlns:tsle="http://schemas.microsoft.com/office/drawing/2012/timeslicer">
      <mc:Choice Requires="tsle">
        <xdr:graphicFrame macro="">
          <xdr:nvGraphicFramePr>
            <xdr:cNvPr id="42" name="Transaction Date">
              <a:extLst>
                <a:ext uri="{FF2B5EF4-FFF2-40B4-BE49-F238E27FC236}">
                  <a16:creationId xmlns:a16="http://schemas.microsoft.com/office/drawing/2014/main" id="{8B9CB07F-EC71-FA4A-33E9-E69BAF0CB298}"/>
                </a:ext>
              </a:extLst>
            </xdr:cNvPr>
            <xdr:cNvGraphicFramePr/>
          </xdr:nvGraphicFramePr>
          <xdr:xfrm>
            <a:off x="0" y="0"/>
            <a:ext cx="0" cy="0"/>
          </xdr:xfrm>
          <a:graphic>
            <a:graphicData uri="http://schemas.microsoft.com/office/drawing/2012/timeslicer">
              <tsle:timeslicer name="Transaction Date"/>
            </a:graphicData>
          </a:graphic>
        </xdr:graphicFrame>
      </mc:Choice>
      <mc:Fallback xmlns="">
        <xdr:sp macro="" textlink="">
          <xdr:nvSpPr>
            <xdr:cNvPr id="0" name=""/>
            <xdr:cNvSpPr>
              <a:spLocks noTextEdit="1"/>
            </xdr:cNvSpPr>
          </xdr:nvSpPr>
          <xdr:spPr>
            <a:xfrm>
              <a:off x="175687" y="4739751"/>
              <a:ext cx="1766588" cy="1318478"/>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0</xdr:col>
      <xdr:colOff>147320</xdr:colOff>
      <xdr:row>12</xdr:row>
      <xdr:rowOff>20321</xdr:rowOff>
    </xdr:from>
    <xdr:to>
      <xdr:col>3</xdr:col>
      <xdr:colOff>142240</xdr:colOff>
      <xdr:row>18</xdr:row>
      <xdr:rowOff>15241</xdr:rowOff>
    </xdr:to>
    <mc:AlternateContent xmlns:mc="http://schemas.openxmlformats.org/markup-compatibility/2006" xmlns:a14="http://schemas.microsoft.com/office/drawing/2010/main">
      <mc:Choice Requires="a14">
        <xdr:graphicFrame macro="">
          <xdr:nvGraphicFramePr>
            <xdr:cNvPr id="45" name="State">
              <a:extLst>
                <a:ext uri="{FF2B5EF4-FFF2-40B4-BE49-F238E27FC236}">
                  <a16:creationId xmlns:a16="http://schemas.microsoft.com/office/drawing/2014/main" id="{EF3CBE23-D9A5-98D8-D6E0-97A60AB5A6BC}"/>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47320" y="2157879"/>
              <a:ext cx="1835595" cy="1063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144780</xdr:colOff>
      <xdr:row>18</xdr:row>
      <xdr:rowOff>99061</xdr:rowOff>
    </xdr:from>
    <xdr:to>
      <xdr:col>3</xdr:col>
      <xdr:colOff>144780</xdr:colOff>
      <xdr:row>26</xdr:row>
      <xdr:rowOff>99060</xdr:rowOff>
    </xdr:to>
    <mc:AlternateContent xmlns:mc="http://schemas.openxmlformats.org/markup-compatibility/2006" xmlns:a14="http://schemas.microsoft.com/office/drawing/2010/main">
      <mc:Choice Requires="a14">
        <xdr:graphicFrame macro="">
          <xdr:nvGraphicFramePr>
            <xdr:cNvPr id="9" name="Card Type">
              <a:extLst>
                <a:ext uri="{FF2B5EF4-FFF2-40B4-BE49-F238E27FC236}">
                  <a16:creationId xmlns:a16="http://schemas.microsoft.com/office/drawing/2014/main" id="{AD819572-C17D-97EF-1A13-0DAE223A2724}"/>
                </a:ext>
              </a:extLst>
            </xdr:cNvPr>
            <xdr:cNvGraphicFramePr/>
          </xdr:nvGraphicFramePr>
          <xdr:xfrm>
            <a:off x="0" y="0"/>
            <a:ext cx="0" cy="0"/>
          </xdr:xfrm>
          <a:graphic>
            <a:graphicData uri="http://schemas.microsoft.com/office/drawing/2010/slicer">
              <sle:slicer xmlns:sle="http://schemas.microsoft.com/office/drawing/2010/slicer" name="Card Type"/>
            </a:graphicData>
          </a:graphic>
        </xdr:graphicFrame>
      </mc:Choice>
      <mc:Fallback xmlns="">
        <xdr:sp macro="" textlink="">
          <xdr:nvSpPr>
            <xdr:cNvPr id="0" name=""/>
            <xdr:cNvSpPr>
              <a:spLocks noTextEdit="1"/>
            </xdr:cNvSpPr>
          </xdr:nvSpPr>
          <xdr:spPr>
            <a:xfrm>
              <a:off x="144780" y="3305399"/>
              <a:ext cx="1840675" cy="14250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92675</xdr:colOff>
      <xdr:row>23</xdr:row>
      <xdr:rowOff>92677</xdr:rowOff>
    </xdr:from>
    <xdr:to>
      <xdr:col>16</xdr:col>
      <xdr:colOff>576648</xdr:colOff>
      <xdr:row>34</xdr:row>
      <xdr:rowOff>14416</xdr:rowOff>
    </xdr:to>
    <xdr:graphicFrame macro="">
      <xdr:nvGraphicFramePr>
        <xdr:cNvPr id="10" name="Chart 9">
          <a:extLst>
            <a:ext uri="{FF2B5EF4-FFF2-40B4-BE49-F238E27FC236}">
              <a16:creationId xmlns:a16="http://schemas.microsoft.com/office/drawing/2014/main" id="{09860572-CDC2-4AA5-AC5A-6F5F43DC84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1</xdr:rowOff>
    </xdr:from>
    <xdr:to>
      <xdr:col>17</xdr:col>
      <xdr:colOff>160412</xdr:colOff>
      <xdr:row>25</xdr:row>
      <xdr:rowOff>53340</xdr:rowOff>
    </xdr:to>
    <xdr:sp macro="" textlink="">
      <xdr:nvSpPr>
        <xdr:cNvPr id="2" name="Rectangle 1">
          <a:extLst>
            <a:ext uri="{FF2B5EF4-FFF2-40B4-BE49-F238E27FC236}">
              <a16:creationId xmlns:a16="http://schemas.microsoft.com/office/drawing/2014/main" id="{E3555063-AF2E-46E4-9458-F5C184EFD0A7}"/>
            </a:ext>
          </a:extLst>
        </xdr:cNvPr>
        <xdr:cNvSpPr/>
      </xdr:nvSpPr>
      <xdr:spPr>
        <a:xfrm>
          <a:off x="0" y="1"/>
          <a:ext cx="10523612" cy="4625339"/>
        </a:xfrm>
        <a:prstGeom prst="rect">
          <a:avLst/>
        </a:prstGeom>
        <a:effectLst>
          <a:outerShdw blurRad="63500" sx="102000" sy="102000" algn="ctr" rotWithShape="0">
            <a:prstClr val="black">
              <a:alpha val="40000"/>
            </a:prstClr>
          </a:outerShdw>
          <a:softEdge rad="12700"/>
        </a:effectLst>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34636</xdr:colOff>
      <xdr:row>0</xdr:row>
      <xdr:rowOff>69272</xdr:rowOff>
    </xdr:from>
    <xdr:to>
      <xdr:col>17</xdr:col>
      <xdr:colOff>125503</xdr:colOff>
      <xdr:row>2</xdr:row>
      <xdr:rowOff>55373</xdr:rowOff>
    </xdr:to>
    <xdr:sp macro="" textlink="">
      <xdr:nvSpPr>
        <xdr:cNvPr id="4" name="Rectangle: Rounded Corners 3">
          <a:extLst>
            <a:ext uri="{FF2B5EF4-FFF2-40B4-BE49-F238E27FC236}">
              <a16:creationId xmlns:a16="http://schemas.microsoft.com/office/drawing/2014/main" id="{A70019F8-D6E1-476C-805A-823023CF08E2}"/>
            </a:ext>
          </a:extLst>
        </xdr:cNvPr>
        <xdr:cNvSpPr/>
      </xdr:nvSpPr>
      <xdr:spPr>
        <a:xfrm>
          <a:off x="34636" y="69272"/>
          <a:ext cx="10395185" cy="349783"/>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800" b="1" i="1"/>
            <a:t>Fraud</a:t>
          </a:r>
          <a:r>
            <a:rPr lang="en-IN" sz="1800" b="1" i="1" baseline="0"/>
            <a:t> Loss Reduction through Transaction Pattern &amp; Behavioral Analysis  -  KEY INSIGHTS</a:t>
          </a:r>
          <a:endParaRPr lang="en-IN" sz="1800" b="1" i="1"/>
        </a:p>
      </xdr:txBody>
    </xdr:sp>
    <xdr:clientData/>
  </xdr:twoCellAnchor>
  <xdr:twoCellAnchor>
    <xdr:from>
      <xdr:col>0</xdr:col>
      <xdr:colOff>53340</xdr:colOff>
      <xdr:row>2</xdr:row>
      <xdr:rowOff>106680</xdr:rowOff>
    </xdr:from>
    <xdr:to>
      <xdr:col>17</xdr:col>
      <xdr:colOff>121920</xdr:colOff>
      <xdr:row>25</xdr:row>
      <xdr:rowOff>15240</xdr:rowOff>
    </xdr:to>
    <xdr:sp macro="" textlink="">
      <xdr:nvSpPr>
        <xdr:cNvPr id="6" name="Rectangle 5">
          <a:extLst>
            <a:ext uri="{FF2B5EF4-FFF2-40B4-BE49-F238E27FC236}">
              <a16:creationId xmlns:a16="http://schemas.microsoft.com/office/drawing/2014/main" id="{F9F931EE-2DDD-9F1E-2F54-1AAF5E74E13E}"/>
            </a:ext>
          </a:extLst>
        </xdr:cNvPr>
        <xdr:cNvSpPr/>
      </xdr:nvSpPr>
      <xdr:spPr>
        <a:xfrm>
          <a:off x="53340" y="472440"/>
          <a:ext cx="10431780" cy="41148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1400" b="1" u="sng">
              <a:latin typeface="Cambria" panose="02040503050406030204" pitchFamily="18" charset="0"/>
              <a:ea typeface="Cambria" panose="02040503050406030204" pitchFamily="18" charset="0"/>
            </a:rPr>
            <a:t>1. High Overall Fraud Exposure:</a:t>
          </a:r>
        </a:p>
        <a:p>
          <a:pPr lvl="1" algn="l"/>
          <a:r>
            <a:rPr lang="en-IN" sz="1400">
              <a:latin typeface="Cambria" panose="02040503050406030204" pitchFamily="18" charset="0"/>
              <a:ea typeface="Cambria" panose="02040503050406030204" pitchFamily="18" charset="0"/>
            </a:rPr>
            <a:t>Total fraud amount reached </a:t>
          </a:r>
          <a:r>
            <a:rPr lang="en-IN" sz="1400" b="1">
              <a:latin typeface="Cambria" panose="02040503050406030204" pitchFamily="18" charset="0"/>
              <a:ea typeface="Cambria" panose="02040503050406030204" pitchFamily="18" charset="0"/>
            </a:rPr>
            <a:t>₹12.23M</a:t>
          </a:r>
          <a:r>
            <a:rPr lang="en-IN" sz="1400">
              <a:latin typeface="Cambria" panose="02040503050406030204" pitchFamily="18" charset="0"/>
              <a:ea typeface="Cambria" panose="02040503050406030204" pitchFamily="18" charset="0"/>
            </a:rPr>
            <a:t>, indicating significant financial loss due to fraudulent transactions.</a:t>
          </a:r>
        </a:p>
        <a:p>
          <a:pPr lvl="1" algn="l"/>
          <a:r>
            <a:rPr lang="en-IN" sz="1400">
              <a:latin typeface="Cambria" panose="02040503050406030204" pitchFamily="18" charset="0"/>
              <a:ea typeface="Cambria" panose="02040503050406030204" pitchFamily="18" charset="0"/>
            </a:rPr>
            <a:t>The fraud rate stands at </a:t>
          </a:r>
          <a:r>
            <a:rPr lang="en-IN" sz="1400" b="1">
              <a:latin typeface="Cambria" panose="02040503050406030204" pitchFamily="18" charset="0"/>
              <a:ea typeface="Cambria" panose="02040503050406030204" pitchFamily="18" charset="0"/>
            </a:rPr>
            <a:t>28.60%</a:t>
          </a:r>
          <a:r>
            <a:rPr lang="en-IN" sz="1400">
              <a:latin typeface="Cambria" panose="02040503050406030204" pitchFamily="18" charset="0"/>
              <a:ea typeface="Cambria" panose="02040503050406030204" pitchFamily="18" charset="0"/>
            </a:rPr>
            <a:t>, showing that nearly one-third of flagged transactions are fraudulent.</a:t>
          </a:r>
        </a:p>
        <a:p>
          <a:pPr lvl="1" algn="l"/>
          <a:endParaRPr lang="en-IN" sz="1400">
            <a:latin typeface="Cambria" panose="02040503050406030204" pitchFamily="18" charset="0"/>
            <a:ea typeface="Cambria" panose="02040503050406030204" pitchFamily="18" charset="0"/>
          </a:endParaRPr>
        </a:p>
        <a:p>
          <a:pPr lvl="0" algn="l"/>
          <a:r>
            <a:rPr lang="en-IN" sz="1400" b="1" u="sng">
              <a:latin typeface="Cambria" panose="02040503050406030204" pitchFamily="18" charset="0"/>
              <a:ea typeface="Cambria" panose="02040503050406030204" pitchFamily="18" charset="0"/>
            </a:rPr>
            <a:t>2. Transportation Category Has Highest Fraud Amount:</a:t>
          </a:r>
        </a:p>
        <a:p>
          <a:pPr lvl="1" algn="l"/>
          <a:r>
            <a:rPr lang="en-IN" sz="1400"/>
            <a:t>Transportation recorded the highest fraudulent transaction amount at approximately </a:t>
          </a:r>
          <a:r>
            <a:rPr lang="en-IN" sz="1400" b="1"/>
            <a:t>₹2.41M</a:t>
          </a:r>
          <a:r>
            <a:rPr lang="en-IN" sz="1400"/>
            <a:t>. </a:t>
          </a:r>
        </a:p>
        <a:p>
          <a:pPr lvl="1" algn="l"/>
          <a:r>
            <a:rPr lang="en-IN" sz="1400"/>
            <a:t>E-commerce and Apparel categories also showed elevated fraud activity, indicating high-risk digital and card-based transactions.</a:t>
          </a:r>
        </a:p>
        <a:p>
          <a:pPr lvl="1" algn="l"/>
          <a:endParaRPr lang="en-IN" sz="1400"/>
        </a:p>
        <a:p>
          <a:pPr lvl="0" algn="l"/>
          <a:r>
            <a:rPr lang="en-IN" sz="1400" b="1" u="sng">
              <a:latin typeface="Cambria" panose="02040503050406030204" pitchFamily="18" charset="0"/>
              <a:ea typeface="Cambria" panose="02040503050406030204" pitchFamily="18" charset="0"/>
            </a:rPr>
            <a:t>3. Maharastra Leads in Fraud Cases:</a:t>
          </a:r>
        </a:p>
        <a:p>
          <a:pPr lvl="1" algn="l"/>
          <a:r>
            <a:rPr lang="en-IN" sz="1400"/>
            <a:t>Maharashtra reported the highest number of fraud cases among all states.</a:t>
          </a:r>
        </a:p>
        <a:p>
          <a:pPr lvl="1" algn="l"/>
          <a:r>
            <a:rPr lang="en-IN" sz="1400"/>
            <a:t>Karnataka and Rajasthan also showed consistently high fraud activity, suggesting regional fraud concentration.</a:t>
          </a:r>
        </a:p>
        <a:p>
          <a:pPr lvl="1" algn="l"/>
          <a:endParaRPr lang="en-IN" sz="1400" b="1" u="sng">
            <a:latin typeface="Cambria" panose="02040503050406030204" pitchFamily="18" charset="0"/>
            <a:ea typeface="Cambria" panose="02040503050406030204" pitchFamily="18" charset="0"/>
          </a:endParaRPr>
        </a:p>
        <a:p>
          <a:pPr lvl="0" algn="l"/>
          <a:r>
            <a:rPr lang="en-IN" sz="1400" b="1" u="sng">
              <a:latin typeface="Cambria" panose="02040503050406030204" pitchFamily="18" charset="0"/>
              <a:ea typeface="Cambria" panose="02040503050406030204" pitchFamily="18" charset="0"/>
            </a:rPr>
            <a:t>4. Fraud Activity Increased</a:t>
          </a:r>
          <a:r>
            <a:rPr lang="en-IN" sz="1400" b="1" u="sng" baseline="0">
              <a:latin typeface="Cambria" panose="02040503050406030204" pitchFamily="18" charset="0"/>
              <a:ea typeface="Cambria" panose="02040503050406030204" pitchFamily="18" charset="0"/>
            </a:rPr>
            <a:t> Towards Year-End:</a:t>
          </a:r>
        </a:p>
        <a:p>
          <a:pPr lvl="1"/>
          <a:r>
            <a:rPr lang="en-IN" sz="1400">
              <a:latin typeface="Cambria" panose="02040503050406030204" pitchFamily="18" charset="0"/>
              <a:ea typeface="Cambria" panose="02040503050406030204" pitchFamily="18" charset="0"/>
            </a:rPr>
            <a:t>Monthly fraud trend analysis shows a gradual increase in fraud cases during the second half of the year. </a:t>
          </a:r>
        </a:p>
        <a:p>
          <a:pPr lvl="1"/>
          <a:r>
            <a:rPr lang="en-IN" sz="1400">
              <a:latin typeface="Cambria" panose="02040503050406030204" pitchFamily="18" charset="0"/>
              <a:ea typeface="Cambria" panose="02040503050406030204" pitchFamily="18" charset="0"/>
            </a:rPr>
            <a:t>December recorded the highest fraud count, indicating possible seasonal fraud spikes during high transaction periods. </a:t>
          </a:r>
        </a:p>
        <a:p>
          <a:pPr lvl="1" algn="l"/>
          <a:endParaRPr lang="en-IN" sz="1400" b="1" u="sng">
            <a:latin typeface="Cambria" panose="02040503050406030204" pitchFamily="18" charset="0"/>
            <a:ea typeface="Cambria" panose="02040503050406030204" pitchFamily="18" charset="0"/>
          </a:endParaRPr>
        </a:p>
        <a:p>
          <a:pPr lvl="0" algn="l"/>
          <a:r>
            <a:rPr lang="en-IN" sz="1400" b="1" u="sng">
              <a:latin typeface="Cambria" panose="02040503050406030204" pitchFamily="18" charset="0"/>
              <a:ea typeface="Cambria" panose="02040503050406030204" pitchFamily="18" charset="0"/>
            </a:rPr>
            <a:t>5,</a:t>
          </a:r>
          <a:r>
            <a:rPr lang="en-IN" sz="1400" b="1" u="sng" baseline="0">
              <a:latin typeface="Cambria" panose="02040503050406030204" pitchFamily="18" charset="0"/>
              <a:ea typeface="Cambria" panose="02040503050406030204" pitchFamily="18" charset="0"/>
            </a:rPr>
            <a:t> </a:t>
          </a:r>
          <a:r>
            <a:rPr lang="en-IN" sz="1400" b="1" u="sng">
              <a:latin typeface="Cambria" panose="02040503050406030204" pitchFamily="18" charset="0"/>
              <a:ea typeface="Cambria" panose="02040503050406030204" pitchFamily="18" charset="0"/>
            </a:rPr>
            <a:t>Medium and Low Risk Transactions Dominate:</a:t>
          </a:r>
        </a:p>
        <a:p>
          <a:pPr lvl="1" algn="l"/>
          <a:r>
            <a:rPr lang="en-IN" sz="1400"/>
            <a:t>Medium-risk and low-risk transactions contribute the largest portion of overall fraud distribution. This suggests fraudsters may intentionally keep transaction behavior below high-risk detection thresholds.</a:t>
          </a:r>
        </a:p>
        <a:p>
          <a:pPr lvl="1" algn="l"/>
          <a:endParaRPr lang="en-IN" sz="1400" b="1" u="sng">
            <a:latin typeface="Cambria" panose="02040503050406030204" pitchFamily="18" charset="0"/>
            <a:ea typeface="Cambria" panose="02040503050406030204" pitchFamily="18" charset="0"/>
          </a:endParaRPr>
        </a:p>
        <a:p>
          <a:pPr lvl="0" algn="l"/>
          <a:endParaRPr lang="en-IN" sz="1400" b="1" u="sng">
            <a:latin typeface="Cambria" panose="02040503050406030204" pitchFamily="18" charset="0"/>
            <a:ea typeface="Cambria" panose="02040503050406030204" pitchFamily="18" charset="0"/>
          </a:endParaRPr>
        </a:p>
      </xdr:txBody>
    </xdr:sp>
    <xdr:clientData/>
  </xdr:twoCellAnchor>
  <xdr:twoCellAnchor editAs="oneCell">
    <xdr:from>
      <xdr:col>0</xdr:col>
      <xdr:colOff>350520</xdr:colOff>
      <xdr:row>4</xdr:row>
      <xdr:rowOff>22860</xdr:rowOff>
    </xdr:from>
    <xdr:to>
      <xdr:col>0</xdr:col>
      <xdr:colOff>518160</xdr:colOff>
      <xdr:row>5</xdr:row>
      <xdr:rowOff>7620</xdr:rowOff>
    </xdr:to>
    <xdr:pic>
      <xdr:nvPicPr>
        <xdr:cNvPr id="8" name="Graphic 7" descr="Star with solid fill">
          <a:extLst>
            <a:ext uri="{FF2B5EF4-FFF2-40B4-BE49-F238E27FC236}">
              <a16:creationId xmlns:a16="http://schemas.microsoft.com/office/drawing/2014/main" id="{DE2ED470-C93F-94F2-7405-C494480287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50520" y="754380"/>
          <a:ext cx="167640" cy="167640"/>
        </a:xfrm>
        <a:prstGeom prst="rect">
          <a:avLst/>
        </a:prstGeom>
      </xdr:spPr>
    </xdr:pic>
    <xdr:clientData/>
  </xdr:twoCellAnchor>
  <xdr:twoCellAnchor editAs="oneCell">
    <xdr:from>
      <xdr:col>0</xdr:col>
      <xdr:colOff>350520</xdr:colOff>
      <xdr:row>5</xdr:row>
      <xdr:rowOff>60960</xdr:rowOff>
    </xdr:from>
    <xdr:to>
      <xdr:col>0</xdr:col>
      <xdr:colOff>518160</xdr:colOff>
      <xdr:row>6</xdr:row>
      <xdr:rowOff>45720</xdr:rowOff>
    </xdr:to>
    <xdr:pic>
      <xdr:nvPicPr>
        <xdr:cNvPr id="9" name="Graphic 8" descr="Star with solid fill">
          <a:extLst>
            <a:ext uri="{FF2B5EF4-FFF2-40B4-BE49-F238E27FC236}">
              <a16:creationId xmlns:a16="http://schemas.microsoft.com/office/drawing/2014/main" id="{9366C995-0BC6-4BFD-A3FB-70CB09B083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50520" y="975360"/>
          <a:ext cx="167640" cy="167640"/>
        </a:xfrm>
        <a:prstGeom prst="rect">
          <a:avLst/>
        </a:prstGeom>
      </xdr:spPr>
    </xdr:pic>
    <xdr:clientData/>
  </xdr:twoCellAnchor>
  <xdr:twoCellAnchor editAs="oneCell">
    <xdr:from>
      <xdr:col>0</xdr:col>
      <xdr:colOff>335280</xdr:colOff>
      <xdr:row>8</xdr:row>
      <xdr:rowOff>121920</xdr:rowOff>
    </xdr:from>
    <xdr:to>
      <xdr:col>0</xdr:col>
      <xdr:colOff>502920</xdr:colOff>
      <xdr:row>9</xdr:row>
      <xdr:rowOff>106680</xdr:rowOff>
    </xdr:to>
    <xdr:pic>
      <xdr:nvPicPr>
        <xdr:cNvPr id="10" name="Graphic 9" descr="Star with solid fill">
          <a:extLst>
            <a:ext uri="{FF2B5EF4-FFF2-40B4-BE49-F238E27FC236}">
              <a16:creationId xmlns:a16="http://schemas.microsoft.com/office/drawing/2014/main" id="{DDD9E163-9836-47C7-8F90-DF4989BB0B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35280" y="1584960"/>
          <a:ext cx="167640" cy="167640"/>
        </a:xfrm>
        <a:prstGeom prst="rect">
          <a:avLst/>
        </a:prstGeom>
      </xdr:spPr>
    </xdr:pic>
    <xdr:clientData/>
  </xdr:twoCellAnchor>
  <xdr:twoCellAnchor editAs="oneCell">
    <xdr:from>
      <xdr:col>0</xdr:col>
      <xdr:colOff>335280</xdr:colOff>
      <xdr:row>9</xdr:row>
      <xdr:rowOff>152400</xdr:rowOff>
    </xdr:from>
    <xdr:to>
      <xdr:col>0</xdr:col>
      <xdr:colOff>502920</xdr:colOff>
      <xdr:row>10</xdr:row>
      <xdr:rowOff>137160</xdr:rowOff>
    </xdr:to>
    <xdr:pic>
      <xdr:nvPicPr>
        <xdr:cNvPr id="11" name="Graphic 10" descr="Star with solid fill">
          <a:extLst>
            <a:ext uri="{FF2B5EF4-FFF2-40B4-BE49-F238E27FC236}">
              <a16:creationId xmlns:a16="http://schemas.microsoft.com/office/drawing/2014/main" id="{5FA8111C-D069-4A6B-B0D6-85D27DEBC6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35280" y="1798320"/>
          <a:ext cx="167640" cy="167640"/>
        </a:xfrm>
        <a:prstGeom prst="rect">
          <a:avLst/>
        </a:prstGeom>
      </xdr:spPr>
    </xdr:pic>
    <xdr:clientData/>
  </xdr:twoCellAnchor>
  <xdr:twoCellAnchor editAs="oneCell">
    <xdr:from>
      <xdr:col>0</xdr:col>
      <xdr:colOff>350520</xdr:colOff>
      <xdr:row>13</xdr:row>
      <xdr:rowOff>60960</xdr:rowOff>
    </xdr:from>
    <xdr:to>
      <xdr:col>0</xdr:col>
      <xdr:colOff>518160</xdr:colOff>
      <xdr:row>14</xdr:row>
      <xdr:rowOff>45720</xdr:rowOff>
    </xdr:to>
    <xdr:pic>
      <xdr:nvPicPr>
        <xdr:cNvPr id="12" name="Graphic 11" descr="Star with solid fill">
          <a:extLst>
            <a:ext uri="{FF2B5EF4-FFF2-40B4-BE49-F238E27FC236}">
              <a16:creationId xmlns:a16="http://schemas.microsoft.com/office/drawing/2014/main" id="{A21F9167-80E1-4222-9437-855FE4D5E1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50520" y="2438400"/>
          <a:ext cx="167640" cy="167640"/>
        </a:xfrm>
        <a:prstGeom prst="rect">
          <a:avLst/>
        </a:prstGeom>
      </xdr:spPr>
    </xdr:pic>
    <xdr:clientData/>
  </xdr:twoCellAnchor>
  <xdr:twoCellAnchor editAs="oneCell">
    <xdr:from>
      <xdr:col>0</xdr:col>
      <xdr:colOff>350520</xdr:colOff>
      <xdr:row>14</xdr:row>
      <xdr:rowOff>114300</xdr:rowOff>
    </xdr:from>
    <xdr:to>
      <xdr:col>0</xdr:col>
      <xdr:colOff>518160</xdr:colOff>
      <xdr:row>15</xdr:row>
      <xdr:rowOff>99060</xdr:rowOff>
    </xdr:to>
    <xdr:pic>
      <xdr:nvPicPr>
        <xdr:cNvPr id="13" name="Graphic 12" descr="Star with solid fill">
          <a:extLst>
            <a:ext uri="{FF2B5EF4-FFF2-40B4-BE49-F238E27FC236}">
              <a16:creationId xmlns:a16="http://schemas.microsoft.com/office/drawing/2014/main" id="{0DB7E3AC-2630-416B-AF82-71A028053A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50520" y="2674620"/>
          <a:ext cx="167640" cy="167640"/>
        </a:xfrm>
        <a:prstGeom prst="rect">
          <a:avLst/>
        </a:prstGeom>
      </xdr:spPr>
    </xdr:pic>
    <xdr:clientData/>
  </xdr:twoCellAnchor>
  <xdr:twoCellAnchor editAs="oneCell">
    <xdr:from>
      <xdr:col>0</xdr:col>
      <xdr:colOff>365760</xdr:colOff>
      <xdr:row>17</xdr:row>
      <xdr:rowOff>175260</xdr:rowOff>
    </xdr:from>
    <xdr:to>
      <xdr:col>0</xdr:col>
      <xdr:colOff>533400</xdr:colOff>
      <xdr:row>18</xdr:row>
      <xdr:rowOff>160020</xdr:rowOff>
    </xdr:to>
    <xdr:pic>
      <xdr:nvPicPr>
        <xdr:cNvPr id="14" name="Graphic 13" descr="Star with solid fill">
          <a:extLst>
            <a:ext uri="{FF2B5EF4-FFF2-40B4-BE49-F238E27FC236}">
              <a16:creationId xmlns:a16="http://schemas.microsoft.com/office/drawing/2014/main" id="{4BB86AB3-5756-422C-878C-42423BF0EE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65760" y="3284220"/>
          <a:ext cx="167640" cy="167640"/>
        </a:xfrm>
        <a:prstGeom prst="rect">
          <a:avLst/>
        </a:prstGeom>
      </xdr:spPr>
    </xdr:pic>
    <xdr:clientData/>
  </xdr:twoCellAnchor>
  <xdr:twoCellAnchor editAs="oneCell">
    <xdr:from>
      <xdr:col>0</xdr:col>
      <xdr:colOff>373380</xdr:colOff>
      <xdr:row>19</xdr:row>
      <xdr:rowOff>38100</xdr:rowOff>
    </xdr:from>
    <xdr:to>
      <xdr:col>0</xdr:col>
      <xdr:colOff>541020</xdr:colOff>
      <xdr:row>20</xdr:row>
      <xdr:rowOff>22860</xdr:rowOff>
    </xdr:to>
    <xdr:pic>
      <xdr:nvPicPr>
        <xdr:cNvPr id="15" name="Graphic 14" descr="Star with solid fill">
          <a:extLst>
            <a:ext uri="{FF2B5EF4-FFF2-40B4-BE49-F238E27FC236}">
              <a16:creationId xmlns:a16="http://schemas.microsoft.com/office/drawing/2014/main" id="{4BA14298-6030-427D-84DE-F8DDBDD713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73380" y="3512820"/>
          <a:ext cx="167640" cy="167640"/>
        </a:xfrm>
        <a:prstGeom prst="rect">
          <a:avLst/>
        </a:prstGeom>
      </xdr:spPr>
    </xdr:pic>
    <xdr:clientData/>
  </xdr:twoCellAnchor>
  <xdr:twoCellAnchor editAs="oneCell">
    <xdr:from>
      <xdr:col>0</xdr:col>
      <xdr:colOff>358140</xdr:colOff>
      <xdr:row>22</xdr:row>
      <xdr:rowOff>99060</xdr:rowOff>
    </xdr:from>
    <xdr:to>
      <xdr:col>0</xdr:col>
      <xdr:colOff>525780</xdr:colOff>
      <xdr:row>23</xdr:row>
      <xdr:rowOff>83820</xdr:rowOff>
    </xdr:to>
    <xdr:pic>
      <xdr:nvPicPr>
        <xdr:cNvPr id="16" name="Graphic 15" descr="Star with solid fill">
          <a:extLst>
            <a:ext uri="{FF2B5EF4-FFF2-40B4-BE49-F238E27FC236}">
              <a16:creationId xmlns:a16="http://schemas.microsoft.com/office/drawing/2014/main" id="{780F3D83-9E1D-4C95-8E6A-1A95FEB231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58140" y="4122420"/>
          <a:ext cx="167640" cy="16764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1</xdr:rowOff>
    </xdr:from>
    <xdr:to>
      <xdr:col>17</xdr:col>
      <xdr:colOff>160412</xdr:colOff>
      <xdr:row>25</xdr:row>
      <xdr:rowOff>7620</xdr:rowOff>
    </xdr:to>
    <xdr:sp macro="" textlink="">
      <xdr:nvSpPr>
        <xdr:cNvPr id="2" name="Rectangle 1">
          <a:extLst>
            <a:ext uri="{FF2B5EF4-FFF2-40B4-BE49-F238E27FC236}">
              <a16:creationId xmlns:a16="http://schemas.microsoft.com/office/drawing/2014/main" id="{C35B54E3-4B5A-4124-BF0F-0BC0A717D24D}"/>
            </a:ext>
          </a:extLst>
        </xdr:cNvPr>
        <xdr:cNvSpPr/>
      </xdr:nvSpPr>
      <xdr:spPr>
        <a:xfrm>
          <a:off x="0" y="1"/>
          <a:ext cx="10523612" cy="4579619"/>
        </a:xfrm>
        <a:prstGeom prst="rect">
          <a:avLst/>
        </a:prstGeom>
        <a:effectLst>
          <a:outerShdw blurRad="63500" sx="102000" sy="102000" algn="ctr" rotWithShape="0">
            <a:prstClr val="black">
              <a:alpha val="40000"/>
            </a:prstClr>
          </a:outerShdw>
          <a:softEdge rad="12700"/>
        </a:effectLst>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53340</xdr:colOff>
      <xdr:row>0</xdr:row>
      <xdr:rowOff>83820</xdr:rowOff>
    </xdr:from>
    <xdr:to>
      <xdr:col>17</xdr:col>
      <xdr:colOff>85325</xdr:colOff>
      <xdr:row>2</xdr:row>
      <xdr:rowOff>67843</xdr:rowOff>
    </xdr:to>
    <xdr:sp macro="" textlink="">
      <xdr:nvSpPr>
        <xdr:cNvPr id="3" name="Rectangle: Rounded Corners 2">
          <a:extLst>
            <a:ext uri="{FF2B5EF4-FFF2-40B4-BE49-F238E27FC236}">
              <a16:creationId xmlns:a16="http://schemas.microsoft.com/office/drawing/2014/main" id="{7F544631-8E0F-4B32-971C-AC030A6FE12B}"/>
            </a:ext>
          </a:extLst>
        </xdr:cNvPr>
        <xdr:cNvSpPr/>
      </xdr:nvSpPr>
      <xdr:spPr>
        <a:xfrm>
          <a:off x="53340" y="83820"/>
          <a:ext cx="10395185" cy="349783"/>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800" b="1" i="1"/>
            <a:t>Fraud</a:t>
          </a:r>
          <a:r>
            <a:rPr lang="en-IN" sz="1800" b="1" i="1" baseline="0"/>
            <a:t> Loss Reduction through Transaction Pattern &amp; Behavioral Analysis  -  BUSINESS RECOMMENDATIONS</a:t>
          </a:r>
          <a:endParaRPr lang="en-IN" sz="1800" b="1" i="1"/>
        </a:p>
      </xdr:txBody>
    </xdr:sp>
    <xdr:clientData/>
  </xdr:twoCellAnchor>
  <xdr:twoCellAnchor>
    <xdr:from>
      <xdr:col>0</xdr:col>
      <xdr:colOff>45720</xdr:colOff>
      <xdr:row>2</xdr:row>
      <xdr:rowOff>129540</xdr:rowOff>
    </xdr:from>
    <xdr:to>
      <xdr:col>17</xdr:col>
      <xdr:colOff>114300</xdr:colOff>
      <xdr:row>24</xdr:row>
      <xdr:rowOff>160020</xdr:rowOff>
    </xdr:to>
    <xdr:sp macro="" textlink="">
      <xdr:nvSpPr>
        <xdr:cNvPr id="5" name="Rectangle 4">
          <a:extLst>
            <a:ext uri="{FF2B5EF4-FFF2-40B4-BE49-F238E27FC236}">
              <a16:creationId xmlns:a16="http://schemas.microsoft.com/office/drawing/2014/main" id="{9518F409-3107-4C52-AAD0-FE7878C09B55}"/>
            </a:ext>
          </a:extLst>
        </xdr:cNvPr>
        <xdr:cNvSpPr/>
      </xdr:nvSpPr>
      <xdr:spPr>
        <a:xfrm>
          <a:off x="45720" y="495300"/>
          <a:ext cx="10431780" cy="405384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1400" b="1" u="sng">
              <a:latin typeface="Cambria" panose="02040503050406030204" pitchFamily="18" charset="0"/>
              <a:ea typeface="Cambria" panose="02040503050406030204" pitchFamily="18" charset="0"/>
            </a:rPr>
            <a:t>1. Increase Monitoring in High Fraud Categories:</a:t>
          </a:r>
        </a:p>
        <a:p>
          <a:pPr lvl="1"/>
          <a:r>
            <a:rPr lang="en-IN" sz="1400">
              <a:latin typeface="Cambria" panose="02040503050406030204" pitchFamily="18" charset="0"/>
              <a:ea typeface="Cambria" panose="02040503050406030204" pitchFamily="18" charset="0"/>
            </a:rPr>
            <a:t>Pay extra attention to: </a:t>
          </a:r>
        </a:p>
        <a:p>
          <a:pPr lvl="2"/>
          <a:r>
            <a:rPr lang="en-IN" sz="1400">
              <a:latin typeface="Cambria" panose="02040503050406030204" pitchFamily="18" charset="0"/>
              <a:ea typeface="Cambria" panose="02040503050406030204" pitchFamily="18" charset="0"/>
            </a:rPr>
            <a:t>Transportation </a:t>
          </a:r>
        </a:p>
        <a:p>
          <a:pPr lvl="2"/>
          <a:r>
            <a:rPr lang="en-IN" sz="1400">
              <a:latin typeface="Cambria" panose="02040503050406030204" pitchFamily="18" charset="0"/>
              <a:ea typeface="Cambria" panose="02040503050406030204" pitchFamily="18" charset="0"/>
            </a:rPr>
            <a:t>E-commerce </a:t>
          </a:r>
        </a:p>
        <a:p>
          <a:pPr lvl="2"/>
          <a:r>
            <a:rPr lang="en-IN" sz="1400">
              <a:latin typeface="Cambria" panose="02040503050406030204" pitchFamily="18" charset="0"/>
              <a:ea typeface="Cambria" panose="02040503050406030204" pitchFamily="18" charset="0"/>
            </a:rPr>
            <a:t>Apparel </a:t>
          </a:r>
        </a:p>
        <a:p>
          <a:pPr lvl="1"/>
          <a:r>
            <a:rPr lang="en-IN" sz="1400">
              <a:latin typeface="Cambria" panose="02040503050406030204" pitchFamily="18" charset="0"/>
              <a:ea typeface="Cambria" panose="02040503050406030204" pitchFamily="18" charset="0"/>
            </a:rPr>
            <a:t>Add stronger checking systems for transactions in these categories.</a:t>
          </a:r>
        </a:p>
        <a:p>
          <a:pPr lvl="1"/>
          <a:endParaRPr lang="en-IN" sz="1400" b="1" u="sng">
            <a:latin typeface="Cambria" panose="02040503050406030204" pitchFamily="18" charset="0"/>
            <a:ea typeface="Cambria" panose="02040503050406030204" pitchFamily="18" charset="0"/>
          </a:endParaRPr>
        </a:p>
        <a:p>
          <a:pPr lvl="0"/>
          <a:r>
            <a:rPr lang="en-IN" sz="1400" b="1" u="sng">
              <a:latin typeface="Cambria" panose="02040503050406030204" pitchFamily="18" charset="0"/>
              <a:ea typeface="Cambria" panose="02040503050406030204" pitchFamily="18" charset="0"/>
            </a:rPr>
            <a:t>2. Deploy State-Level Fraud Control Strategies:</a:t>
          </a:r>
        </a:p>
        <a:p>
          <a:pPr lvl="1"/>
          <a:r>
            <a:rPr lang="en-IN" sz="1400">
              <a:latin typeface="Cambria" panose="02040503050406030204" pitchFamily="18" charset="0"/>
              <a:ea typeface="Cambria" panose="02040503050406030204" pitchFamily="18" charset="0"/>
            </a:rPr>
            <a:t>Increase fraud monitoring and investigation efforts in: </a:t>
          </a:r>
        </a:p>
        <a:p>
          <a:pPr lvl="2"/>
          <a:r>
            <a:rPr lang="en-IN" sz="1400">
              <a:latin typeface="Cambria" panose="02040503050406030204" pitchFamily="18" charset="0"/>
              <a:ea typeface="Cambria" panose="02040503050406030204" pitchFamily="18" charset="0"/>
            </a:rPr>
            <a:t>Maharashtra </a:t>
          </a:r>
        </a:p>
        <a:p>
          <a:pPr lvl="2"/>
          <a:r>
            <a:rPr lang="en-IN" sz="1400">
              <a:latin typeface="Cambria" panose="02040503050406030204" pitchFamily="18" charset="0"/>
              <a:ea typeface="Cambria" panose="02040503050406030204" pitchFamily="18" charset="0"/>
            </a:rPr>
            <a:t>Karnataka </a:t>
          </a:r>
        </a:p>
        <a:p>
          <a:pPr lvl="2"/>
          <a:r>
            <a:rPr lang="en-IN" sz="1400">
              <a:latin typeface="Cambria" panose="02040503050406030204" pitchFamily="18" charset="0"/>
              <a:ea typeface="Cambria" panose="02040503050406030204" pitchFamily="18" charset="0"/>
            </a:rPr>
            <a:t>Rajasthan </a:t>
          </a:r>
        </a:p>
        <a:p>
          <a:pPr lvl="1"/>
          <a:r>
            <a:rPr lang="en-IN" sz="1400">
              <a:latin typeface="Cambria" panose="02040503050406030204" pitchFamily="18" charset="0"/>
              <a:ea typeface="Cambria" panose="02040503050406030204" pitchFamily="18" charset="0"/>
            </a:rPr>
            <a:t>Introduce region-based fraud scoring models.</a:t>
          </a:r>
        </a:p>
        <a:p>
          <a:pPr lvl="1"/>
          <a:endParaRPr lang="en-IN" sz="1400">
            <a:latin typeface="Cambria" panose="02040503050406030204" pitchFamily="18" charset="0"/>
            <a:ea typeface="Cambria" panose="02040503050406030204" pitchFamily="18" charset="0"/>
          </a:endParaRPr>
        </a:p>
        <a:p>
          <a:r>
            <a:rPr lang="en-IN" sz="1400" b="1" u="sng">
              <a:latin typeface="Cambria" panose="02040503050406030204" pitchFamily="18" charset="0"/>
              <a:ea typeface="Cambria" panose="02040503050406030204" pitchFamily="18" charset="0"/>
            </a:rPr>
            <a:t>3. Enhance Transaction Verification:</a:t>
          </a:r>
        </a:p>
        <a:p>
          <a:pPr lvl="1"/>
          <a:r>
            <a:rPr lang="en-IN" sz="1400">
              <a:latin typeface="Cambria" panose="02040503050406030204" pitchFamily="18" charset="0"/>
              <a:ea typeface="Cambria" panose="02040503050406030204" pitchFamily="18" charset="0"/>
            </a:rPr>
            <a:t>Introduce additional authentication measures such as: </a:t>
          </a:r>
        </a:p>
        <a:p>
          <a:pPr lvl="2"/>
          <a:r>
            <a:rPr lang="en-IN" sz="1400">
              <a:latin typeface="Cambria" panose="02040503050406030204" pitchFamily="18" charset="0"/>
              <a:ea typeface="Cambria" panose="02040503050406030204" pitchFamily="18" charset="0"/>
            </a:rPr>
            <a:t>Multi-factor authentication (MFA) </a:t>
          </a:r>
        </a:p>
        <a:p>
          <a:pPr lvl="2"/>
          <a:r>
            <a:rPr lang="en-IN" sz="1400">
              <a:latin typeface="Cambria" panose="02040503050406030204" pitchFamily="18" charset="0"/>
              <a:ea typeface="Cambria" panose="02040503050406030204" pitchFamily="18" charset="0"/>
            </a:rPr>
            <a:t>OTP validation </a:t>
          </a:r>
        </a:p>
        <a:p>
          <a:pPr lvl="2"/>
          <a:r>
            <a:rPr lang="en-IN" sz="1400">
              <a:latin typeface="Cambria" panose="02040503050406030204" pitchFamily="18" charset="0"/>
              <a:ea typeface="Cambria" panose="02040503050406030204" pitchFamily="18" charset="0"/>
            </a:rPr>
            <a:t>Biometric verification for high-value transactions</a:t>
          </a:r>
        </a:p>
        <a:p>
          <a:pPr marL="457200" marR="0" lvl="1" indent="0" defTabSz="914400" eaLnBrk="1" fontAlgn="auto" latinLnBrk="0" hangingPunct="1">
            <a:lnSpc>
              <a:spcPct val="100000"/>
            </a:lnSpc>
            <a:spcBef>
              <a:spcPts val="0"/>
            </a:spcBef>
            <a:spcAft>
              <a:spcPts val="0"/>
            </a:spcAft>
            <a:buClrTx/>
            <a:buSzTx/>
            <a:buFontTx/>
            <a:buNone/>
            <a:tabLst/>
            <a:defRPr/>
          </a:pPr>
          <a:endParaRPr lang="en-IN" sz="1400" b="1" u="sng">
            <a:latin typeface="Cambria" panose="02040503050406030204" pitchFamily="18" charset="0"/>
            <a:ea typeface="Cambria" panose="02040503050406030204" pitchFamily="18" charset="0"/>
          </a:endParaRPr>
        </a:p>
        <a:p>
          <a:pPr lvl="0"/>
          <a:endParaRPr lang="en-IN" sz="1400" b="1" u="sng">
            <a:latin typeface="Cambria" panose="02040503050406030204" pitchFamily="18" charset="0"/>
            <a:ea typeface="Cambria" panose="02040503050406030204" pitchFamily="18" charset="0"/>
          </a:endParaRPr>
        </a:p>
      </xdr:txBody>
    </xdr:sp>
    <xdr:clientData/>
  </xdr:twoCellAnchor>
  <xdr:twoCellAnchor editAs="oneCell">
    <xdr:from>
      <xdr:col>0</xdr:col>
      <xdr:colOff>365760</xdr:colOff>
      <xdr:row>4</xdr:row>
      <xdr:rowOff>45720</xdr:rowOff>
    </xdr:from>
    <xdr:to>
      <xdr:col>0</xdr:col>
      <xdr:colOff>533400</xdr:colOff>
      <xdr:row>5</xdr:row>
      <xdr:rowOff>30480</xdr:rowOff>
    </xdr:to>
    <xdr:pic>
      <xdr:nvPicPr>
        <xdr:cNvPr id="6" name="Graphic 5" descr="Star with solid fill">
          <a:extLst>
            <a:ext uri="{FF2B5EF4-FFF2-40B4-BE49-F238E27FC236}">
              <a16:creationId xmlns:a16="http://schemas.microsoft.com/office/drawing/2014/main" id="{03CF86D3-2680-4DD7-AA57-8936827F03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65760" y="777240"/>
          <a:ext cx="167640" cy="167640"/>
        </a:xfrm>
        <a:prstGeom prst="rect">
          <a:avLst/>
        </a:prstGeom>
      </xdr:spPr>
    </xdr:pic>
    <xdr:clientData/>
  </xdr:twoCellAnchor>
  <xdr:twoCellAnchor editAs="oneCell">
    <xdr:from>
      <xdr:col>0</xdr:col>
      <xdr:colOff>358140</xdr:colOff>
      <xdr:row>8</xdr:row>
      <xdr:rowOff>144780</xdr:rowOff>
    </xdr:from>
    <xdr:to>
      <xdr:col>0</xdr:col>
      <xdr:colOff>525780</xdr:colOff>
      <xdr:row>9</xdr:row>
      <xdr:rowOff>129540</xdr:rowOff>
    </xdr:to>
    <xdr:pic>
      <xdr:nvPicPr>
        <xdr:cNvPr id="7" name="Graphic 6" descr="Star with solid fill">
          <a:extLst>
            <a:ext uri="{FF2B5EF4-FFF2-40B4-BE49-F238E27FC236}">
              <a16:creationId xmlns:a16="http://schemas.microsoft.com/office/drawing/2014/main" id="{48D7F0AE-B49E-4043-B6CB-0DE16B42FE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58140" y="1607820"/>
          <a:ext cx="167640" cy="167640"/>
        </a:xfrm>
        <a:prstGeom prst="rect">
          <a:avLst/>
        </a:prstGeom>
      </xdr:spPr>
    </xdr:pic>
    <xdr:clientData/>
  </xdr:twoCellAnchor>
  <xdr:twoCellAnchor editAs="oneCell">
    <xdr:from>
      <xdr:col>0</xdr:col>
      <xdr:colOff>358140</xdr:colOff>
      <xdr:row>12</xdr:row>
      <xdr:rowOff>38100</xdr:rowOff>
    </xdr:from>
    <xdr:to>
      <xdr:col>0</xdr:col>
      <xdr:colOff>525780</xdr:colOff>
      <xdr:row>13</xdr:row>
      <xdr:rowOff>22860</xdr:rowOff>
    </xdr:to>
    <xdr:pic>
      <xdr:nvPicPr>
        <xdr:cNvPr id="8" name="Graphic 7" descr="Star with solid fill">
          <a:extLst>
            <a:ext uri="{FF2B5EF4-FFF2-40B4-BE49-F238E27FC236}">
              <a16:creationId xmlns:a16="http://schemas.microsoft.com/office/drawing/2014/main" id="{0B8FE8FE-C72B-4D9F-9AB9-338DC5835E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58140" y="2232660"/>
          <a:ext cx="167640" cy="167640"/>
        </a:xfrm>
        <a:prstGeom prst="rect">
          <a:avLst/>
        </a:prstGeom>
      </xdr:spPr>
    </xdr:pic>
    <xdr:clientData/>
  </xdr:twoCellAnchor>
  <xdr:twoCellAnchor editAs="oneCell">
    <xdr:from>
      <xdr:col>0</xdr:col>
      <xdr:colOff>365760</xdr:colOff>
      <xdr:row>16</xdr:row>
      <xdr:rowOff>121920</xdr:rowOff>
    </xdr:from>
    <xdr:to>
      <xdr:col>0</xdr:col>
      <xdr:colOff>533400</xdr:colOff>
      <xdr:row>17</xdr:row>
      <xdr:rowOff>106680</xdr:rowOff>
    </xdr:to>
    <xdr:pic>
      <xdr:nvPicPr>
        <xdr:cNvPr id="9" name="Graphic 8" descr="Star with solid fill">
          <a:extLst>
            <a:ext uri="{FF2B5EF4-FFF2-40B4-BE49-F238E27FC236}">
              <a16:creationId xmlns:a16="http://schemas.microsoft.com/office/drawing/2014/main" id="{CA635026-A442-4F4E-B272-E70A644E1E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65760" y="3048000"/>
          <a:ext cx="167640" cy="167640"/>
        </a:xfrm>
        <a:prstGeom prst="rect">
          <a:avLst/>
        </a:prstGeom>
      </xdr:spPr>
    </xdr:pic>
    <xdr:clientData/>
  </xdr:twoCellAnchor>
  <xdr:twoCellAnchor editAs="oneCell">
    <xdr:from>
      <xdr:col>0</xdr:col>
      <xdr:colOff>373380</xdr:colOff>
      <xdr:row>20</xdr:row>
      <xdr:rowOff>38100</xdr:rowOff>
    </xdr:from>
    <xdr:to>
      <xdr:col>0</xdr:col>
      <xdr:colOff>541020</xdr:colOff>
      <xdr:row>21</xdr:row>
      <xdr:rowOff>22860</xdr:rowOff>
    </xdr:to>
    <xdr:pic>
      <xdr:nvPicPr>
        <xdr:cNvPr id="10" name="Graphic 9" descr="Star with solid fill">
          <a:extLst>
            <a:ext uri="{FF2B5EF4-FFF2-40B4-BE49-F238E27FC236}">
              <a16:creationId xmlns:a16="http://schemas.microsoft.com/office/drawing/2014/main" id="{EF8C23AC-F04B-4EC5-BA0F-4963ED16B7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73380" y="3695700"/>
          <a:ext cx="167640" cy="167640"/>
        </a:xfrm>
        <a:prstGeom prst="rect">
          <a:avLst/>
        </a:prstGeom>
      </xdr:spPr>
    </xdr:pic>
    <xdr:clientData/>
  </xdr:twoCellAnchor>
  <xdr:twoCellAnchor>
    <xdr:from>
      <xdr:col>1</xdr:col>
      <xdr:colOff>152400</xdr:colOff>
      <xdr:row>5</xdr:row>
      <xdr:rowOff>137160</xdr:rowOff>
    </xdr:from>
    <xdr:to>
      <xdr:col>1</xdr:col>
      <xdr:colOff>373380</xdr:colOff>
      <xdr:row>5</xdr:row>
      <xdr:rowOff>182879</xdr:rowOff>
    </xdr:to>
    <xdr:sp macro="" textlink="">
      <xdr:nvSpPr>
        <xdr:cNvPr id="13" name="Arrow: Right 12">
          <a:extLst>
            <a:ext uri="{FF2B5EF4-FFF2-40B4-BE49-F238E27FC236}">
              <a16:creationId xmlns:a16="http://schemas.microsoft.com/office/drawing/2014/main" id="{4101AF79-65A1-906B-7A17-83769A35E72A}"/>
            </a:ext>
          </a:extLst>
        </xdr:cNvPr>
        <xdr:cNvSpPr/>
      </xdr:nvSpPr>
      <xdr:spPr>
        <a:xfrm>
          <a:off x="762000" y="1051560"/>
          <a:ext cx="220980" cy="45719"/>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144780</xdr:colOff>
      <xdr:row>6</xdr:row>
      <xdr:rowOff>160020</xdr:rowOff>
    </xdr:from>
    <xdr:to>
      <xdr:col>1</xdr:col>
      <xdr:colOff>365760</xdr:colOff>
      <xdr:row>7</xdr:row>
      <xdr:rowOff>22859</xdr:rowOff>
    </xdr:to>
    <xdr:sp macro="" textlink="">
      <xdr:nvSpPr>
        <xdr:cNvPr id="14" name="Arrow: Right 13">
          <a:extLst>
            <a:ext uri="{FF2B5EF4-FFF2-40B4-BE49-F238E27FC236}">
              <a16:creationId xmlns:a16="http://schemas.microsoft.com/office/drawing/2014/main" id="{22A3A073-3406-4E70-B558-23FEC6180C75}"/>
            </a:ext>
          </a:extLst>
        </xdr:cNvPr>
        <xdr:cNvSpPr/>
      </xdr:nvSpPr>
      <xdr:spPr>
        <a:xfrm>
          <a:off x="754380" y="1257300"/>
          <a:ext cx="220980" cy="45719"/>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152400</xdr:colOff>
      <xdr:row>8</xdr:row>
      <xdr:rowOff>15240</xdr:rowOff>
    </xdr:from>
    <xdr:to>
      <xdr:col>1</xdr:col>
      <xdr:colOff>373380</xdr:colOff>
      <xdr:row>8</xdr:row>
      <xdr:rowOff>60959</xdr:rowOff>
    </xdr:to>
    <xdr:sp macro="" textlink="">
      <xdr:nvSpPr>
        <xdr:cNvPr id="15" name="Arrow: Right 14">
          <a:extLst>
            <a:ext uri="{FF2B5EF4-FFF2-40B4-BE49-F238E27FC236}">
              <a16:creationId xmlns:a16="http://schemas.microsoft.com/office/drawing/2014/main" id="{67AEF5A1-E59B-4F86-8B37-17C7E3735BC9}"/>
            </a:ext>
          </a:extLst>
        </xdr:cNvPr>
        <xdr:cNvSpPr/>
      </xdr:nvSpPr>
      <xdr:spPr>
        <a:xfrm>
          <a:off x="762000" y="1478280"/>
          <a:ext cx="220980" cy="45719"/>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152400</xdr:colOff>
      <xdr:row>13</xdr:row>
      <xdr:rowOff>129540</xdr:rowOff>
    </xdr:from>
    <xdr:to>
      <xdr:col>1</xdr:col>
      <xdr:colOff>373380</xdr:colOff>
      <xdr:row>13</xdr:row>
      <xdr:rowOff>175259</xdr:rowOff>
    </xdr:to>
    <xdr:sp macro="" textlink="">
      <xdr:nvSpPr>
        <xdr:cNvPr id="16" name="Arrow: Right 15">
          <a:extLst>
            <a:ext uri="{FF2B5EF4-FFF2-40B4-BE49-F238E27FC236}">
              <a16:creationId xmlns:a16="http://schemas.microsoft.com/office/drawing/2014/main" id="{EFCA2378-0A27-4F25-A3EE-9A99919EFEF9}"/>
            </a:ext>
          </a:extLst>
        </xdr:cNvPr>
        <xdr:cNvSpPr/>
      </xdr:nvSpPr>
      <xdr:spPr>
        <a:xfrm>
          <a:off x="762000" y="2506980"/>
          <a:ext cx="220980" cy="45719"/>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152400</xdr:colOff>
      <xdr:row>14</xdr:row>
      <xdr:rowOff>160020</xdr:rowOff>
    </xdr:from>
    <xdr:to>
      <xdr:col>1</xdr:col>
      <xdr:colOff>373380</xdr:colOff>
      <xdr:row>15</xdr:row>
      <xdr:rowOff>22859</xdr:rowOff>
    </xdr:to>
    <xdr:sp macro="" textlink="">
      <xdr:nvSpPr>
        <xdr:cNvPr id="17" name="Arrow: Right 16">
          <a:extLst>
            <a:ext uri="{FF2B5EF4-FFF2-40B4-BE49-F238E27FC236}">
              <a16:creationId xmlns:a16="http://schemas.microsoft.com/office/drawing/2014/main" id="{E01B27ED-57D5-4391-B847-4BDD133630BC}"/>
            </a:ext>
          </a:extLst>
        </xdr:cNvPr>
        <xdr:cNvSpPr/>
      </xdr:nvSpPr>
      <xdr:spPr>
        <a:xfrm>
          <a:off x="762000" y="2720340"/>
          <a:ext cx="220980" cy="45719"/>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152400</xdr:colOff>
      <xdr:row>16</xdr:row>
      <xdr:rowOff>7620</xdr:rowOff>
    </xdr:from>
    <xdr:to>
      <xdr:col>1</xdr:col>
      <xdr:colOff>373380</xdr:colOff>
      <xdr:row>16</xdr:row>
      <xdr:rowOff>53339</xdr:rowOff>
    </xdr:to>
    <xdr:sp macro="" textlink="">
      <xdr:nvSpPr>
        <xdr:cNvPr id="18" name="Arrow: Right 17">
          <a:extLst>
            <a:ext uri="{FF2B5EF4-FFF2-40B4-BE49-F238E27FC236}">
              <a16:creationId xmlns:a16="http://schemas.microsoft.com/office/drawing/2014/main" id="{CD442E74-82A0-4D20-A79F-B8405286C657}"/>
            </a:ext>
          </a:extLst>
        </xdr:cNvPr>
        <xdr:cNvSpPr/>
      </xdr:nvSpPr>
      <xdr:spPr>
        <a:xfrm>
          <a:off x="762000" y="2933700"/>
          <a:ext cx="220980" cy="45719"/>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152400</xdr:colOff>
      <xdr:row>21</xdr:row>
      <xdr:rowOff>137160</xdr:rowOff>
    </xdr:from>
    <xdr:to>
      <xdr:col>1</xdr:col>
      <xdr:colOff>373380</xdr:colOff>
      <xdr:row>21</xdr:row>
      <xdr:rowOff>182879</xdr:rowOff>
    </xdr:to>
    <xdr:sp macro="" textlink="">
      <xdr:nvSpPr>
        <xdr:cNvPr id="19" name="Arrow: Right 18">
          <a:extLst>
            <a:ext uri="{FF2B5EF4-FFF2-40B4-BE49-F238E27FC236}">
              <a16:creationId xmlns:a16="http://schemas.microsoft.com/office/drawing/2014/main" id="{8ABB3A67-BCC0-4971-8FB5-C1F2C0026453}"/>
            </a:ext>
          </a:extLst>
        </xdr:cNvPr>
        <xdr:cNvSpPr/>
      </xdr:nvSpPr>
      <xdr:spPr>
        <a:xfrm>
          <a:off x="762000" y="3977640"/>
          <a:ext cx="220980" cy="45719"/>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160020</xdr:colOff>
      <xdr:row>22</xdr:row>
      <xdr:rowOff>160020</xdr:rowOff>
    </xdr:from>
    <xdr:to>
      <xdr:col>1</xdr:col>
      <xdr:colOff>381000</xdr:colOff>
      <xdr:row>23</xdr:row>
      <xdr:rowOff>22859</xdr:rowOff>
    </xdr:to>
    <xdr:sp macro="" textlink="">
      <xdr:nvSpPr>
        <xdr:cNvPr id="20" name="Arrow: Right 19">
          <a:extLst>
            <a:ext uri="{FF2B5EF4-FFF2-40B4-BE49-F238E27FC236}">
              <a16:creationId xmlns:a16="http://schemas.microsoft.com/office/drawing/2014/main" id="{A3BBD2E2-B48A-49AF-9A2F-FB83799A20BE}"/>
            </a:ext>
          </a:extLst>
        </xdr:cNvPr>
        <xdr:cNvSpPr/>
      </xdr:nvSpPr>
      <xdr:spPr>
        <a:xfrm>
          <a:off x="769620" y="4183380"/>
          <a:ext cx="220980" cy="45719"/>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144780</xdr:colOff>
      <xdr:row>24</xdr:row>
      <xdr:rowOff>7620</xdr:rowOff>
    </xdr:from>
    <xdr:to>
      <xdr:col>1</xdr:col>
      <xdr:colOff>365760</xdr:colOff>
      <xdr:row>24</xdr:row>
      <xdr:rowOff>53339</xdr:rowOff>
    </xdr:to>
    <xdr:sp macro="" textlink="">
      <xdr:nvSpPr>
        <xdr:cNvPr id="21" name="Arrow: Right 20">
          <a:extLst>
            <a:ext uri="{FF2B5EF4-FFF2-40B4-BE49-F238E27FC236}">
              <a16:creationId xmlns:a16="http://schemas.microsoft.com/office/drawing/2014/main" id="{D42CFCEF-FF11-4B31-B7C5-43A7F1760509}"/>
            </a:ext>
          </a:extLst>
        </xdr:cNvPr>
        <xdr:cNvSpPr/>
      </xdr:nvSpPr>
      <xdr:spPr>
        <a:xfrm>
          <a:off x="754380" y="4396740"/>
          <a:ext cx="220980" cy="45719"/>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ammdeep gajbhiye" refreshedDate="46058.81152048611" createdVersion="8" refreshedVersion="8" minRefreshableVersion="3" recordCount="1000" xr:uid="{11F02C75-3560-4052-9B4B-605E166C3EA7}">
  <cacheSource type="worksheet">
    <worksheetSource name="Credit_Card_Fraud_Risk_Analysis"/>
  </cacheSource>
  <cacheFields count="17">
    <cacheField name="Transaction ID" numFmtId="0">
      <sharedItems containsSemiMixedTypes="0" containsString="0" containsNumber="1" containsInteger="1" minValue="10036453" maxValue="99943976"/>
    </cacheField>
    <cacheField name="Customer Name" numFmtId="0">
      <sharedItems/>
    </cacheField>
    <cacheField name="Merchant Name" numFmtId="0">
      <sharedItems count="10">
        <s v="Uber"/>
        <s v="Zomato"/>
        <s v="Myntra"/>
        <s v="Lifestyle"/>
        <s v="Tata Cliq"/>
        <s v="Flipkart"/>
        <s v="Amazon India"/>
        <s v="Big Bazaar"/>
        <s v="Reliance Digital"/>
        <s v="Swiggy"/>
      </sharedItems>
    </cacheField>
    <cacheField name="Transaction Date" numFmtId="14">
      <sharedItems containsSemiMixedTypes="0" containsNonDate="0" containsDate="1" containsString="0" minDate="2023-12-16T00:00:00" maxDate="2024-12-16T00:00:00" count="342">
        <d v="2024-11-10T00:00:00"/>
        <d v="2024-05-20T00:00:00"/>
        <d v="2024-05-28T00:00:00"/>
        <d v="2024-01-09T00:00:00"/>
        <d v="2024-07-27T00:00:00"/>
        <d v="2023-12-20T00:00:00"/>
        <d v="2023-12-26T00:00:00"/>
        <d v="2024-01-05T00:00:00"/>
        <d v="2024-11-09T00:00:00"/>
        <d v="2024-10-22T00:00:00"/>
        <d v="2024-10-08T00:00:00"/>
        <d v="2024-11-16T00:00:00"/>
        <d v="2024-12-05T00:00:00"/>
        <d v="2024-01-26T00:00:00"/>
        <d v="2024-05-29T00:00:00"/>
        <d v="2024-08-21T00:00:00"/>
        <d v="2024-09-21T00:00:00"/>
        <d v="2024-12-14T00:00:00"/>
        <d v="2024-06-13T00:00:00"/>
        <d v="2023-12-25T00:00:00"/>
        <d v="2024-08-23T00:00:00"/>
        <d v="2024-10-15T00:00:00"/>
        <d v="2024-07-10T00:00:00"/>
        <d v="2024-09-10T00:00:00"/>
        <d v="2024-07-25T00:00:00"/>
        <d v="2024-07-19T00:00:00"/>
        <d v="2024-07-31T00:00:00"/>
        <d v="2024-10-11T00:00:00"/>
        <d v="2024-04-28T00:00:00"/>
        <d v="2024-10-23T00:00:00"/>
        <d v="2024-01-11T00:00:00"/>
        <d v="2024-10-02T00:00:00"/>
        <d v="2024-02-15T00:00:00"/>
        <d v="2024-12-12T00:00:00"/>
        <d v="2024-11-14T00:00:00"/>
        <d v="2024-04-08T00:00:00"/>
        <d v="2024-12-03T00:00:00"/>
        <d v="2024-01-19T00:00:00"/>
        <d v="2024-08-15T00:00:00"/>
        <d v="2024-08-02T00:00:00"/>
        <d v="2024-07-15T00:00:00"/>
        <d v="2024-02-13T00:00:00"/>
        <d v="2024-09-05T00:00:00"/>
        <d v="2024-07-08T00:00:00"/>
        <d v="2023-12-30T00:00:00"/>
        <d v="2024-04-14T00:00:00"/>
        <d v="2024-10-29T00:00:00"/>
        <d v="2024-11-13T00:00:00"/>
        <d v="2024-01-02T00:00:00"/>
        <d v="2024-09-16T00:00:00"/>
        <d v="2024-06-05T00:00:00"/>
        <d v="2024-03-22T00:00:00"/>
        <d v="2024-05-25T00:00:00"/>
        <d v="2024-06-29T00:00:00"/>
        <d v="2024-08-05T00:00:00"/>
        <d v="2023-12-16T00:00:00"/>
        <d v="2024-06-18T00:00:00"/>
        <d v="2024-01-30T00:00:00"/>
        <d v="2024-09-12T00:00:00"/>
        <d v="2024-03-16T00:00:00"/>
        <d v="2024-11-06T00:00:00"/>
        <d v="2024-11-17T00:00:00"/>
        <d v="2024-08-22T00:00:00"/>
        <d v="2024-03-07T00:00:00"/>
        <d v="2024-10-12T00:00:00"/>
        <d v="2024-04-27T00:00:00"/>
        <d v="2024-02-19T00:00:00"/>
        <d v="2024-07-30T00:00:00"/>
        <d v="2024-10-21T00:00:00"/>
        <d v="2024-05-18T00:00:00"/>
        <d v="2024-05-23T00:00:00"/>
        <d v="2024-04-07T00:00:00"/>
        <d v="2024-09-08T00:00:00"/>
        <d v="2023-12-29T00:00:00"/>
        <d v="2024-09-23T00:00:00"/>
        <d v="2024-06-25T00:00:00"/>
        <d v="2024-08-06T00:00:00"/>
        <d v="2024-03-31T00:00:00"/>
        <d v="2024-11-02T00:00:00"/>
        <d v="2024-04-02T00:00:00"/>
        <d v="2024-07-01T00:00:00"/>
        <d v="2024-12-08T00:00:00"/>
        <d v="2024-02-10T00:00:00"/>
        <d v="2024-01-06T00:00:00"/>
        <d v="2024-06-12T00:00:00"/>
        <d v="2024-06-08T00:00:00"/>
        <d v="2024-09-03T00:00:00"/>
        <d v="2024-04-10T00:00:00"/>
        <d v="2024-03-13T00:00:00"/>
        <d v="2024-06-09T00:00:00"/>
        <d v="2024-10-26T00:00:00"/>
        <d v="2024-02-08T00:00:00"/>
        <d v="2024-04-16T00:00:00"/>
        <d v="2024-07-28T00:00:00"/>
        <d v="2024-07-11T00:00:00"/>
        <d v="2024-10-01T00:00:00"/>
        <d v="2024-05-09T00:00:00"/>
        <d v="2024-10-13T00:00:00"/>
        <d v="2024-08-17T00:00:00"/>
        <d v="2024-04-17T00:00:00"/>
        <d v="2024-09-01T00:00:00"/>
        <d v="2024-05-02T00:00:00"/>
        <d v="2024-10-07T00:00:00"/>
        <d v="2024-02-16T00:00:00"/>
        <d v="2024-11-28T00:00:00"/>
        <d v="2024-04-30T00:00:00"/>
        <d v="2024-02-04T00:00:00"/>
        <d v="2024-05-01T00:00:00"/>
        <d v="2024-05-04T00:00:00"/>
        <d v="2024-03-03T00:00:00"/>
        <d v="2024-01-14T00:00:00"/>
        <d v="2024-06-06T00:00:00"/>
        <d v="2023-12-24T00:00:00"/>
        <d v="2024-02-09T00:00:00"/>
        <d v="2024-07-29T00:00:00"/>
        <d v="2024-09-24T00:00:00"/>
        <d v="2024-10-30T00:00:00"/>
        <d v="2024-11-25T00:00:00"/>
        <d v="2024-04-13T00:00:00"/>
        <d v="2024-08-08T00:00:00"/>
        <d v="2024-11-12T00:00:00"/>
        <d v="2024-04-21T00:00:00"/>
        <d v="2023-12-19T00:00:00"/>
        <d v="2024-03-10T00:00:00"/>
        <d v="2024-03-15T00:00:00"/>
        <d v="2024-03-25T00:00:00"/>
        <d v="2024-04-05T00:00:00"/>
        <d v="2024-05-19T00:00:00"/>
        <d v="2024-06-02T00:00:00"/>
        <d v="2024-02-01T00:00:00"/>
        <d v="2024-09-09T00:00:00"/>
        <d v="2024-01-23T00:00:00"/>
        <d v="2024-02-11T00:00:00"/>
        <d v="2024-01-18T00:00:00"/>
        <d v="2024-11-05T00:00:00"/>
        <d v="2024-02-22T00:00:00"/>
        <d v="2024-05-31T00:00:00"/>
        <d v="2024-12-10T00:00:00"/>
        <d v="2024-09-29T00:00:00"/>
        <d v="2024-11-21T00:00:00"/>
        <d v="2024-11-27T00:00:00"/>
        <d v="2024-09-19T00:00:00"/>
        <d v="2023-12-22T00:00:00"/>
        <d v="2024-02-23T00:00:00"/>
        <d v="2024-04-01T00:00:00"/>
        <d v="2024-08-01T00:00:00"/>
        <d v="2024-10-03T00:00:00"/>
        <d v="2024-11-07T00:00:00"/>
        <d v="2024-08-30T00:00:00"/>
        <d v="2023-12-18T00:00:00"/>
        <d v="2024-08-07T00:00:00"/>
        <d v="2024-02-20T00:00:00"/>
        <d v="2024-02-07T00:00:00"/>
        <d v="2024-01-01T00:00:00"/>
        <d v="2024-03-17T00:00:00"/>
        <d v="2023-12-23T00:00:00"/>
        <d v="2024-03-01T00:00:00"/>
        <d v="2024-03-14T00:00:00"/>
        <d v="2024-07-21T00:00:00"/>
        <d v="2024-03-12T00:00:00"/>
        <d v="2024-11-04T00:00:00"/>
        <d v="2024-11-03T00:00:00"/>
        <d v="2024-08-19T00:00:00"/>
        <d v="2024-09-17T00:00:00"/>
        <d v="2024-06-11T00:00:00"/>
        <d v="2024-09-07T00:00:00"/>
        <d v="2024-05-17T00:00:00"/>
        <d v="2024-03-06T00:00:00"/>
        <d v="2024-05-07T00:00:00"/>
        <d v="2024-12-04T00:00:00"/>
        <d v="2024-08-29T00:00:00"/>
        <d v="2024-11-23T00:00:00"/>
        <d v="2024-03-23T00:00:00"/>
        <d v="2024-11-22T00:00:00"/>
        <d v="2024-05-27T00:00:00"/>
        <d v="2024-02-14T00:00:00"/>
        <d v="2024-02-03T00:00:00"/>
        <d v="2024-01-27T00:00:00"/>
        <d v="2024-11-08T00:00:00"/>
        <d v="2024-04-24T00:00:00"/>
        <d v="2024-04-04T00:00:00"/>
        <d v="2023-12-28T00:00:00"/>
        <d v="2024-10-31T00:00:00"/>
        <d v="2024-10-27T00:00:00"/>
        <d v="2024-03-26T00:00:00"/>
        <d v="2024-08-24T00:00:00"/>
        <d v="2024-11-19T00:00:00"/>
        <d v="2024-07-12T00:00:00"/>
        <d v="2024-10-28T00:00:00"/>
        <d v="2024-09-25T00:00:00"/>
        <d v="2024-06-15T00:00:00"/>
        <d v="2024-11-18T00:00:00"/>
        <d v="2024-01-24T00:00:00"/>
        <d v="2024-10-19T00:00:00"/>
        <d v="2024-04-18T00:00:00"/>
        <d v="2024-04-15T00:00:00"/>
        <d v="2024-03-18T00:00:00"/>
        <d v="2024-10-04T00:00:00"/>
        <d v="2024-01-17T00:00:00"/>
        <d v="2024-01-10T00:00:00"/>
        <d v="2024-11-29T00:00:00"/>
        <d v="2024-06-20T00:00:00"/>
        <d v="2024-07-24T00:00:00"/>
        <d v="2024-05-16T00:00:00"/>
        <d v="2024-12-02T00:00:00"/>
        <d v="2024-06-21T00:00:00"/>
        <d v="2024-02-02T00:00:00"/>
        <d v="2024-03-05T00:00:00"/>
        <d v="2024-06-14T00:00:00"/>
        <d v="2024-03-08T00:00:00"/>
        <d v="2024-02-18T00:00:00"/>
        <d v="2024-05-06T00:00:00"/>
        <d v="2024-04-12T00:00:00"/>
        <d v="2024-09-20T00:00:00"/>
        <d v="2023-12-31T00:00:00"/>
        <d v="2024-05-05T00:00:00"/>
        <d v="2024-09-04T00:00:00"/>
        <d v="2024-09-27T00:00:00"/>
        <d v="2024-12-15T00:00:00"/>
        <d v="2024-01-22T00:00:00"/>
        <d v="2024-01-31T00:00:00"/>
        <d v="2024-08-18T00:00:00"/>
        <d v="2024-06-24T00:00:00"/>
        <d v="2024-07-07T00:00:00"/>
        <d v="2024-05-10T00:00:00"/>
        <d v="2024-05-21T00:00:00"/>
        <d v="2024-03-04T00:00:00"/>
        <d v="2024-06-19T00:00:00"/>
        <d v="2024-05-11T00:00:00"/>
        <d v="2024-01-21T00:00:00"/>
        <d v="2024-07-26T00:00:00"/>
        <d v="2024-12-07T00:00:00"/>
        <d v="2024-02-21T00:00:00"/>
        <d v="2024-02-06T00:00:00"/>
        <d v="2024-03-20T00:00:00"/>
        <d v="2024-01-25T00:00:00"/>
        <d v="2024-01-20T00:00:00"/>
        <d v="2024-03-27T00:00:00"/>
        <d v="2024-01-16T00:00:00"/>
        <d v="2024-10-17T00:00:00"/>
        <d v="2024-03-28T00:00:00"/>
        <d v="2024-11-15T00:00:00"/>
        <d v="2024-02-29T00:00:00"/>
        <d v="2024-11-24T00:00:00"/>
        <d v="2024-01-15T00:00:00"/>
        <d v="2024-08-04T00:00:00"/>
        <d v="2024-01-29T00:00:00"/>
        <d v="2024-10-16T00:00:00"/>
        <d v="2024-06-30T00:00:00"/>
        <d v="2024-04-29T00:00:00"/>
        <d v="2024-01-12T00:00:00"/>
        <d v="2024-08-26T00:00:00"/>
        <d v="2024-02-26T00:00:00"/>
        <d v="2024-08-03T00:00:00"/>
        <d v="2024-12-11T00:00:00"/>
        <d v="2024-06-27T00:00:00"/>
        <d v="2024-06-17T00:00:00"/>
        <d v="2024-11-30T00:00:00"/>
        <d v="2024-11-11T00:00:00"/>
        <d v="2024-07-02T00:00:00"/>
        <d v="2024-04-03T00:00:00"/>
        <d v="2024-09-11T00:00:00"/>
        <d v="2024-01-04T00:00:00"/>
        <d v="2024-12-13T00:00:00"/>
        <d v="2024-08-25T00:00:00"/>
        <d v="2024-08-11T00:00:00"/>
        <d v="2024-12-06T00:00:00"/>
        <d v="2024-08-10T00:00:00"/>
        <d v="2024-10-18T00:00:00"/>
        <d v="2024-07-17T00:00:00"/>
        <d v="2024-10-25T00:00:00"/>
        <d v="2024-05-08T00:00:00"/>
        <d v="2024-03-19T00:00:00"/>
        <d v="2024-05-30T00:00:00"/>
        <d v="2024-04-20T00:00:00"/>
        <d v="2024-08-27T00:00:00"/>
        <d v="2024-07-14T00:00:00"/>
        <d v="2023-12-17T00:00:00"/>
        <d v="2024-07-05T00:00:00"/>
        <d v="2024-07-20T00:00:00"/>
        <d v="2024-09-15T00:00:00"/>
        <d v="2024-08-12T00:00:00"/>
        <d v="2024-06-10T00:00:00"/>
        <d v="2024-05-12T00:00:00"/>
        <d v="2024-03-29T00:00:00"/>
        <d v="2024-12-01T00:00:00"/>
        <d v="2024-10-10T00:00:00"/>
        <d v="2024-03-11T00:00:00"/>
        <d v="2024-07-04T00:00:00"/>
        <d v="2024-03-24T00:00:00"/>
        <d v="2024-06-04T00:00:00"/>
        <d v="2024-04-09T00:00:00"/>
        <d v="2024-07-09T00:00:00"/>
        <d v="2024-06-07T00:00:00"/>
        <d v="2024-08-09T00:00:00"/>
        <d v="2024-07-03T00:00:00"/>
        <d v="2024-04-26T00:00:00"/>
        <d v="2024-08-13T00:00:00"/>
        <d v="2024-09-28T00:00:00"/>
        <d v="2024-09-14T00:00:00"/>
        <d v="2024-04-22T00:00:00"/>
        <d v="2024-03-02T00:00:00"/>
        <d v="2024-02-12T00:00:00"/>
        <d v="2024-05-15T00:00:00"/>
        <d v="2024-04-19T00:00:00"/>
        <d v="2024-06-16T00:00:00"/>
        <d v="2024-08-31T00:00:00"/>
        <d v="2024-07-22T00:00:00"/>
        <d v="2024-10-09T00:00:00"/>
        <d v="2024-12-09T00:00:00"/>
        <d v="2024-02-28T00:00:00"/>
        <d v="2024-09-02T00:00:00"/>
        <d v="2024-05-03T00:00:00"/>
        <d v="2024-06-23T00:00:00"/>
        <d v="2023-12-21T00:00:00"/>
        <d v="2024-02-05T00:00:00"/>
        <d v="2024-10-24T00:00:00"/>
        <d v="2024-06-28T00:00:00"/>
        <d v="2024-06-22T00:00:00"/>
        <d v="2024-10-06T00:00:00"/>
        <d v="2024-10-14T00:00:00"/>
        <d v="2024-02-17T00:00:00"/>
        <d v="2024-06-26T00:00:00"/>
        <d v="2024-04-25T00:00:00"/>
        <d v="2024-01-08T00:00:00"/>
        <d v="2024-07-16T00:00:00"/>
        <d v="2024-01-28T00:00:00"/>
        <d v="2024-06-01T00:00:00"/>
        <d v="2024-04-23T00:00:00"/>
        <d v="2024-09-26T00:00:00"/>
        <d v="2024-11-20T00:00:00"/>
        <d v="2024-03-21T00:00:00"/>
        <d v="2024-05-22T00:00:00"/>
        <d v="2024-07-23T00:00:00"/>
        <d v="2024-09-06T00:00:00"/>
        <d v="2024-11-01T00:00:00"/>
        <d v="2024-09-13T00:00:00"/>
        <d v="2024-11-26T00:00:00"/>
        <d v="2024-03-09T00:00:00"/>
        <d v="2024-06-03T00:00:00"/>
        <d v="2024-01-07T00:00:00"/>
        <d v="2024-05-14T00:00:00"/>
      </sharedItems>
      <fieldGroup par="16"/>
    </cacheField>
    <cacheField name="Transaction Amount (INR)" numFmtId="0">
      <sharedItems containsSemiMixedTypes="0" containsString="0" containsNumber="1" containsInteger="1" minValue="141" maxValue="24993"/>
    </cacheField>
    <cacheField name="Fraud Risk" numFmtId="0">
      <sharedItems count="4">
        <s v="Medium"/>
        <s v="Low"/>
        <s v="Critical"/>
        <s v="High"/>
      </sharedItems>
    </cacheField>
    <cacheField name="Fraud Type" numFmtId="0">
      <sharedItems count="5">
        <s v="Card Not Present"/>
        <s v="Phishing"/>
        <s v="Card Skimming"/>
        <s v="Account Takeover"/>
        <s v="Identity Theft"/>
      </sharedItems>
    </cacheField>
    <cacheField name="State" numFmtId="0">
      <sharedItems count="10">
        <s v="Telangana"/>
        <s v="Maharashtra"/>
        <s v="Uttar Pradesh"/>
        <s v="Kerala"/>
        <s v="Delhi"/>
        <s v="West Bengal"/>
        <s v="Tamil Nadu"/>
        <s v="Karnataka"/>
        <s v="Gujarat"/>
        <s v="Rajasthan"/>
      </sharedItems>
    </cacheField>
    <cacheField name="Card Type" numFmtId="0">
      <sharedItems count="4">
        <s v="Rupay"/>
        <s v="Amex"/>
        <s v="Visa"/>
        <s v="Mastercard"/>
      </sharedItems>
    </cacheField>
    <cacheField name="Bank" numFmtId="0">
      <sharedItems count="9">
        <s v="ICICI Bank"/>
        <s v="SBI"/>
        <s v="HDFC Bank"/>
        <s v="Federal Bank"/>
        <s v="Andhra Bank"/>
        <s v="Bank of Baroda"/>
        <s v="Yes Bank"/>
        <s v="Kotak Bank"/>
        <s v="Axis Bank"/>
      </sharedItems>
    </cacheField>
    <cacheField name="IsFraud" numFmtId="0">
      <sharedItems containsSemiMixedTypes="0" containsString="0" containsNumber="1" containsInteger="1" minValue="0" maxValue="1"/>
    </cacheField>
    <cacheField name="Fraud Score" numFmtId="0">
      <sharedItems containsSemiMixedTypes="0" containsString="0" containsNumber="1" containsInteger="1" minValue="10" maxValue="95" count="86">
        <n v="57"/>
        <n v="10"/>
        <n v="55"/>
        <n v="30"/>
        <n v="86"/>
        <n v="80"/>
        <n v="95"/>
        <n v="56"/>
        <n v="92"/>
        <n v="66"/>
        <n v="90"/>
        <n v="46"/>
        <n v="25"/>
        <n v="19"/>
        <n v="43"/>
        <n v="76"/>
        <n v="85"/>
        <n v="31"/>
        <n v="88"/>
        <n v="42"/>
        <n v="39"/>
        <n v="41"/>
        <n v="37"/>
        <n v="67"/>
        <n v="91"/>
        <n v="24"/>
        <n v="83"/>
        <n v="81"/>
        <n v="48"/>
        <n v="29"/>
        <n v="35"/>
        <n v="71"/>
        <n v="21"/>
        <n v="49"/>
        <n v="45"/>
        <n v="70"/>
        <n v="64"/>
        <n v="50"/>
        <n v="32"/>
        <n v="94"/>
        <n v="26"/>
        <n v="13"/>
        <n v="11"/>
        <n v="68"/>
        <n v="17"/>
        <n v="53"/>
        <n v="65"/>
        <n v="79"/>
        <n v="14"/>
        <n v="36"/>
        <n v="63"/>
        <n v="16"/>
        <n v="54"/>
        <n v="69"/>
        <n v="58"/>
        <n v="75"/>
        <n v="73"/>
        <n v="38"/>
        <n v="18"/>
        <n v="61"/>
        <n v="28"/>
        <n v="22"/>
        <n v="78"/>
        <n v="33"/>
        <n v="20"/>
        <n v="15"/>
        <n v="72"/>
        <n v="44"/>
        <n v="87"/>
        <n v="34"/>
        <n v="60"/>
        <n v="77"/>
        <n v="59"/>
        <n v="52"/>
        <n v="82"/>
        <n v="74"/>
        <n v="40"/>
        <n v="89"/>
        <n v="84"/>
        <n v="93"/>
        <n v="27"/>
        <n v="47"/>
        <n v="12"/>
        <n v="62"/>
        <n v="23"/>
        <n v="51"/>
      </sharedItems>
    </cacheField>
    <cacheField name="Transaction Category" numFmtId="0">
      <sharedItems count="6">
        <s v="Transportation"/>
        <s v="Groceries"/>
        <s v="E-commerce"/>
        <s v="Electronics"/>
        <s v="Apparel"/>
        <s v="Food Delivery"/>
      </sharedItems>
    </cacheField>
    <cacheField name="Merchant Location" numFmtId="0">
      <sharedItems/>
    </cacheField>
    <cacheField name="Months (Transaction Date)" numFmtId="0" databaseField="0">
      <fieldGroup base="3">
        <rangePr groupBy="months" startDate="2023-12-16T00:00:00" endDate="2024-12-16T00:00:00"/>
        <groupItems count="14">
          <s v="&lt;16-12-2023"/>
          <s v="Jan"/>
          <s v="Feb"/>
          <s v="Mar"/>
          <s v="Apr"/>
          <s v="May"/>
          <s v="Jun"/>
          <s v="Jul"/>
          <s v="Aug"/>
          <s v="Sep"/>
          <s v="Oct"/>
          <s v="Nov"/>
          <s v="Dec"/>
          <s v="&gt;16-12-2024"/>
        </groupItems>
      </fieldGroup>
    </cacheField>
    <cacheField name="Quarters (Transaction Date)" numFmtId="0" databaseField="0">
      <fieldGroup base="3">
        <rangePr groupBy="quarters" startDate="2023-12-16T00:00:00" endDate="2024-12-16T00:00:00"/>
        <groupItems count="6">
          <s v="&lt;16-12-2023"/>
          <s v="Qtr1"/>
          <s v="Qtr2"/>
          <s v="Qtr3"/>
          <s v="Qtr4"/>
          <s v="&gt;16-12-2024"/>
        </groupItems>
      </fieldGroup>
    </cacheField>
    <cacheField name="Years (Transaction Date)" numFmtId="0" databaseField="0">
      <fieldGroup base="3">
        <rangePr groupBy="years" startDate="2023-12-16T00:00:00" endDate="2024-12-16T00:00:00"/>
        <groupItems count="4">
          <s v="&lt;16-12-2023"/>
          <s v="2023"/>
          <s v="2024"/>
          <s v="&gt;16-12-2024"/>
        </groupItems>
      </fieldGroup>
    </cacheField>
  </cacheFields>
  <extLst>
    <ext xmlns:x14="http://schemas.microsoft.com/office/spreadsheetml/2009/9/main" uri="{725AE2AE-9491-48be-B2B4-4EB974FC3084}">
      <x14:pivotCacheDefinition pivotCacheId="773678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7797619"/>
    <s v="Pihu Manne"/>
    <x v="0"/>
    <x v="0"/>
    <n v="11673"/>
    <x v="0"/>
    <x v="0"/>
    <x v="0"/>
    <x v="0"/>
    <x v="0"/>
    <n v="0"/>
    <x v="0"/>
    <x v="0"/>
    <s v="Bangalore"/>
  </r>
  <r>
    <n v="50040671"/>
    <s v="Hiran Vaidya"/>
    <x v="1"/>
    <x v="1"/>
    <n v="16594"/>
    <x v="0"/>
    <x v="1"/>
    <x v="1"/>
    <x v="1"/>
    <x v="1"/>
    <n v="0"/>
    <x v="1"/>
    <x v="1"/>
    <s v="Bangalore"/>
  </r>
  <r>
    <n v="88177651"/>
    <s v="Shalv Vasa"/>
    <x v="2"/>
    <x v="2"/>
    <n v="23347"/>
    <x v="0"/>
    <x v="2"/>
    <x v="2"/>
    <x v="2"/>
    <x v="2"/>
    <n v="0"/>
    <x v="2"/>
    <x v="0"/>
    <s v="Ahmedabad"/>
  </r>
  <r>
    <n v="24228305"/>
    <s v="Taran Shanker"/>
    <x v="3"/>
    <x v="3"/>
    <n v="20753"/>
    <x v="1"/>
    <x v="2"/>
    <x v="3"/>
    <x v="2"/>
    <x v="3"/>
    <n v="0"/>
    <x v="3"/>
    <x v="2"/>
    <s v="Lucknow"/>
  </r>
  <r>
    <n v="87307869"/>
    <s v="Shanaya Kara"/>
    <x v="4"/>
    <x v="4"/>
    <n v="6432"/>
    <x v="1"/>
    <x v="2"/>
    <x v="4"/>
    <x v="1"/>
    <x v="1"/>
    <n v="0"/>
    <x v="4"/>
    <x v="3"/>
    <s v="Hyderabad"/>
  </r>
  <r>
    <n v="25042953"/>
    <s v="Eshani Batta"/>
    <x v="3"/>
    <x v="5"/>
    <n v="4586"/>
    <x v="2"/>
    <x v="2"/>
    <x v="5"/>
    <x v="1"/>
    <x v="4"/>
    <n v="0"/>
    <x v="5"/>
    <x v="2"/>
    <s v="Hyderabad"/>
  </r>
  <r>
    <n v="13457605"/>
    <s v="Advik Jayaraman"/>
    <x v="5"/>
    <x v="6"/>
    <n v="2202"/>
    <x v="0"/>
    <x v="3"/>
    <x v="6"/>
    <x v="1"/>
    <x v="5"/>
    <n v="0"/>
    <x v="6"/>
    <x v="4"/>
    <s v="Mumbai"/>
  </r>
  <r>
    <n v="95389887"/>
    <s v="Drishya Bhandari"/>
    <x v="3"/>
    <x v="7"/>
    <n v="17709"/>
    <x v="3"/>
    <x v="0"/>
    <x v="7"/>
    <x v="2"/>
    <x v="2"/>
    <n v="0"/>
    <x v="7"/>
    <x v="2"/>
    <s v="Jaipur"/>
  </r>
  <r>
    <n v="66937046"/>
    <s v="Mannat Kothari"/>
    <x v="1"/>
    <x v="8"/>
    <n v="1613"/>
    <x v="1"/>
    <x v="1"/>
    <x v="2"/>
    <x v="0"/>
    <x v="2"/>
    <n v="1"/>
    <x v="8"/>
    <x v="5"/>
    <s v="Bangalore"/>
  </r>
  <r>
    <n v="39375009"/>
    <s v="Aradhya Khosla"/>
    <x v="3"/>
    <x v="9"/>
    <n v="21623"/>
    <x v="1"/>
    <x v="2"/>
    <x v="5"/>
    <x v="2"/>
    <x v="5"/>
    <n v="0"/>
    <x v="9"/>
    <x v="4"/>
    <s v="Delhi"/>
  </r>
  <r>
    <n v="26313417"/>
    <s v="Lakshay Ravi"/>
    <x v="3"/>
    <x v="10"/>
    <n v="7180"/>
    <x v="2"/>
    <x v="2"/>
    <x v="0"/>
    <x v="2"/>
    <x v="6"/>
    <n v="0"/>
    <x v="10"/>
    <x v="4"/>
    <s v="Mumbai"/>
  </r>
  <r>
    <n v="53768437"/>
    <s v="Tushar Kara"/>
    <x v="6"/>
    <x v="11"/>
    <n v="1562"/>
    <x v="1"/>
    <x v="4"/>
    <x v="3"/>
    <x v="3"/>
    <x v="5"/>
    <n v="0"/>
    <x v="11"/>
    <x v="2"/>
    <s v="Kolkata"/>
  </r>
  <r>
    <n v="49564502"/>
    <s v="Shamik Sharaf"/>
    <x v="7"/>
    <x v="12"/>
    <n v="1521"/>
    <x v="0"/>
    <x v="2"/>
    <x v="7"/>
    <x v="2"/>
    <x v="2"/>
    <n v="1"/>
    <x v="12"/>
    <x v="5"/>
    <s v="Ahmedabad"/>
  </r>
  <r>
    <n v="46575685"/>
    <s v="Shray Dutt"/>
    <x v="8"/>
    <x v="13"/>
    <n v="18563"/>
    <x v="1"/>
    <x v="3"/>
    <x v="4"/>
    <x v="0"/>
    <x v="0"/>
    <n v="0"/>
    <x v="13"/>
    <x v="0"/>
    <s v="Bangalore"/>
  </r>
  <r>
    <n v="85972172"/>
    <s v="Prisha Mannan"/>
    <x v="8"/>
    <x v="14"/>
    <n v="4486"/>
    <x v="3"/>
    <x v="2"/>
    <x v="1"/>
    <x v="2"/>
    <x v="7"/>
    <n v="1"/>
    <x v="14"/>
    <x v="2"/>
    <s v="Ahmedabad"/>
  </r>
  <r>
    <n v="74522267"/>
    <s v="Zeeshan Lalla"/>
    <x v="7"/>
    <x v="15"/>
    <n v="11710"/>
    <x v="0"/>
    <x v="3"/>
    <x v="8"/>
    <x v="1"/>
    <x v="6"/>
    <n v="0"/>
    <x v="15"/>
    <x v="5"/>
    <s v="Delhi"/>
  </r>
  <r>
    <n v="26829430"/>
    <s v="Tarini Bedi"/>
    <x v="4"/>
    <x v="16"/>
    <n v="24725"/>
    <x v="1"/>
    <x v="0"/>
    <x v="7"/>
    <x v="1"/>
    <x v="7"/>
    <n v="0"/>
    <x v="16"/>
    <x v="0"/>
    <s v="Ahmedabad"/>
  </r>
  <r>
    <n v="76910814"/>
    <s v="Nehmat Upadhyay"/>
    <x v="4"/>
    <x v="17"/>
    <n v="3192"/>
    <x v="0"/>
    <x v="4"/>
    <x v="3"/>
    <x v="0"/>
    <x v="5"/>
    <n v="1"/>
    <x v="17"/>
    <x v="0"/>
    <s v="Lucknow"/>
  </r>
  <r>
    <n v="37342915"/>
    <s v="Rohan Sood"/>
    <x v="0"/>
    <x v="18"/>
    <n v="950"/>
    <x v="1"/>
    <x v="2"/>
    <x v="2"/>
    <x v="0"/>
    <x v="8"/>
    <n v="0"/>
    <x v="18"/>
    <x v="3"/>
    <s v="Jaipur"/>
  </r>
  <r>
    <n v="70649904"/>
    <s v="Jivika Singhal"/>
    <x v="6"/>
    <x v="19"/>
    <n v="7021"/>
    <x v="1"/>
    <x v="1"/>
    <x v="1"/>
    <x v="1"/>
    <x v="1"/>
    <n v="1"/>
    <x v="19"/>
    <x v="3"/>
    <s v="Chennai"/>
  </r>
  <r>
    <n v="80346732"/>
    <s v="Adah Chaudhry"/>
    <x v="8"/>
    <x v="20"/>
    <n v="7932"/>
    <x v="3"/>
    <x v="2"/>
    <x v="1"/>
    <x v="3"/>
    <x v="5"/>
    <n v="1"/>
    <x v="20"/>
    <x v="3"/>
    <s v="Kochi"/>
  </r>
  <r>
    <n v="39217230"/>
    <s v="Saksham Rastogi"/>
    <x v="0"/>
    <x v="21"/>
    <n v="7249"/>
    <x v="1"/>
    <x v="1"/>
    <x v="3"/>
    <x v="2"/>
    <x v="1"/>
    <n v="0"/>
    <x v="21"/>
    <x v="4"/>
    <s v="Delhi"/>
  </r>
  <r>
    <n v="29894081"/>
    <s v="Veer Sridhar"/>
    <x v="8"/>
    <x v="10"/>
    <n v="12194"/>
    <x v="3"/>
    <x v="2"/>
    <x v="7"/>
    <x v="2"/>
    <x v="0"/>
    <n v="1"/>
    <x v="22"/>
    <x v="3"/>
    <s v="Kochi"/>
  </r>
  <r>
    <n v="41533703"/>
    <s v="Kanav Chaudhary"/>
    <x v="1"/>
    <x v="22"/>
    <n v="24114"/>
    <x v="0"/>
    <x v="0"/>
    <x v="1"/>
    <x v="1"/>
    <x v="1"/>
    <n v="0"/>
    <x v="23"/>
    <x v="5"/>
    <s v="Mumbai"/>
  </r>
  <r>
    <n v="50613866"/>
    <s v="Rasha Reddy"/>
    <x v="7"/>
    <x v="23"/>
    <n v="2983"/>
    <x v="2"/>
    <x v="2"/>
    <x v="7"/>
    <x v="3"/>
    <x v="5"/>
    <n v="1"/>
    <x v="16"/>
    <x v="3"/>
    <s v="Lucknow"/>
  </r>
  <r>
    <n v="74550146"/>
    <s v="Tiya Bir"/>
    <x v="6"/>
    <x v="7"/>
    <n v="9673"/>
    <x v="1"/>
    <x v="3"/>
    <x v="8"/>
    <x v="2"/>
    <x v="5"/>
    <n v="0"/>
    <x v="24"/>
    <x v="5"/>
    <s v="Chennai"/>
  </r>
  <r>
    <n v="99502840"/>
    <s v="Urvi Ghose"/>
    <x v="3"/>
    <x v="24"/>
    <n v="8158"/>
    <x v="3"/>
    <x v="4"/>
    <x v="7"/>
    <x v="2"/>
    <x v="6"/>
    <n v="0"/>
    <x v="25"/>
    <x v="2"/>
    <s v="Lucknow"/>
  </r>
  <r>
    <n v="27654485"/>
    <s v="Yuvaan Sidhu"/>
    <x v="3"/>
    <x v="25"/>
    <n v="2375"/>
    <x v="3"/>
    <x v="0"/>
    <x v="1"/>
    <x v="1"/>
    <x v="2"/>
    <n v="0"/>
    <x v="26"/>
    <x v="0"/>
    <s v="Lucknow"/>
  </r>
  <r>
    <n v="73074171"/>
    <s v="Ojas Shah"/>
    <x v="1"/>
    <x v="26"/>
    <n v="10950"/>
    <x v="0"/>
    <x v="4"/>
    <x v="8"/>
    <x v="2"/>
    <x v="2"/>
    <n v="0"/>
    <x v="27"/>
    <x v="4"/>
    <s v="Delhi"/>
  </r>
  <r>
    <n v="93774582"/>
    <s v="Tara Johal"/>
    <x v="0"/>
    <x v="27"/>
    <n v="6527"/>
    <x v="1"/>
    <x v="4"/>
    <x v="4"/>
    <x v="3"/>
    <x v="3"/>
    <n v="0"/>
    <x v="10"/>
    <x v="5"/>
    <s v="Mumbai"/>
  </r>
  <r>
    <n v="46788591"/>
    <s v="Diya Bajaj"/>
    <x v="3"/>
    <x v="28"/>
    <n v="9549"/>
    <x v="0"/>
    <x v="2"/>
    <x v="3"/>
    <x v="3"/>
    <x v="2"/>
    <n v="0"/>
    <x v="18"/>
    <x v="1"/>
    <s v="Hyderabad"/>
  </r>
  <r>
    <n v="27824277"/>
    <s v="Faiyaz Cheema"/>
    <x v="9"/>
    <x v="29"/>
    <n v="5461"/>
    <x v="0"/>
    <x v="0"/>
    <x v="4"/>
    <x v="0"/>
    <x v="8"/>
    <n v="0"/>
    <x v="28"/>
    <x v="0"/>
    <s v="Mumbai"/>
  </r>
  <r>
    <n v="16938100"/>
    <s v="Aradhya Dhillon"/>
    <x v="0"/>
    <x v="30"/>
    <n v="24489"/>
    <x v="1"/>
    <x v="4"/>
    <x v="9"/>
    <x v="0"/>
    <x v="3"/>
    <n v="1"/>
    <x v="29"/>
    <x v="0"/>
    <s v="Bangalore"/>
  </r>
  <r>
    <n v="66943130"/>
    <s v="Biju Sood"/>
    <x v="3"/>
    <x v="31"/>
    <n v="24680"/>
    <x v="1"/>
    <x v="4"/>
    <x v="1"/>
    <x v="3"/>
    <x v="1"/>
    <n v="0"/>
    <x v="5"/>
    <x v="5"/>
    <s v="Delhi"/>
  </r>
  <r>
    <n v="68375255"/>
    <s v="Alia Dugar"/>
    <x v="2"/>
    <x v="32"/>
    <n v="24578"/>
    <x v="1"/>
    <x v="0"/>
    <x v="9"/>
    <x v="2"/>
    <x v="3"/>
    <n v="0"/>
    <x v="30"/>
    <x v="2"/>
    <s v="Delhi"/>
  </r>
  <r>
    <n v="50941021"/>
    <s v="Oorja Borah"/>
    <x v="6"/>
    <x v="33"/>
    <n v="11195"/>
    <x v="0"/>
    <x v="3"/>
    <x v="6"/>
    <x v="3"/>
    <x v="4"/>
    <n v="1"/>
    <x v="23"/>
    <x v="1"/>
    <s v="Ahmedabad"/>
  </r>
  <r>
    <n v="60606372"/>
    <s v="Kanav Choudhary"/>
    <x v="5"/>
    <x v="4"/>
    <n v="1714"/>
    <x v="0"/>
    <x v="3"/>
    <x v="6"/>
    <x v="2"/>
    <x v="4"/>
    <n v="1"/>
    <x v="31"/>
    <x v="3"/>
    <s v="Hyderabad"/>
  </r>
  <r>
    <n v="32201823"/>
    <s v="Zaina Hegde"/>
    <x v="5"/>
    <x v="34"/>
    <n v="14207"/>
    <x v="1"/>
    <x v="4"/>
    <x v="0"/>
    <x v="3"/>
    <x v="3"/>
    <n v="0"/>
    <x v="32"/>
    <x v="0"/>
    <s v="Lucknow"/>
  </r>
  <r>
    <n v="53667574"/>
    <s v="Yakshit Handa"/>
    <x v="1"/>
    <x v="35"/>
    <n v="9803"/>
    <x v="1"/>
    <x v="0"/>
    <x v="6"/>
    <x v="3"/>
    <x v="5"/>
    <n v="0"/>
    <x v="10"/>
    <x v="3"/>
    <s v="Chennai"/>
  </r>
  <r>
    <n v="80084680"/>
    <s v="Nehmat Sangha"/>
    <x v="6"/>
    <x v="36"/>
    <n v="17897"/>
    <x v="0"/>
    <x v="3"/>
    <x v="4"/>
    <x v="1"/>
    <x v="6"/>
    <n v="0"/>
    <x v="33"/>
    <x v="2"/>
    <s v="Chennai"/>
  </r>
  <r>
    <n v="18010953"/>
    <s v="Samarth Wason"/>
    <x v="8"/>
    <x v="37"/>
    <n v="22366"/>
    <x v="0"/>
    <x v="2"/>
    <x v="6"/>
    <x v="3"/>
    <x v="6"/>
    <n v="1"/>
    <x v="34"/>
    <x v="1"/>
    <s v="Kolkata"/>
  </r>
  <r>
    <n v="39335891"/>
    <s v="Umang Soman"/>
    <x v="5"/>
    <x v="38"/>
    <n v="4064"/>
    <x v="0"/>
    <x v="1"/>
    <x v="1"/>
    <x v="0"/>
    <x v="3"/>
    <n v="0"/>
    <x v="3"/>
    <x v="1"/>
    <s v="Ahmedabad"/>
  </r>
  <r>
    <n v="83700642"/>
    <s v="Kartik Bose"/>
    <x v="0"/>
    <x v="39"/>
    <n v="10336"/>
    <x v="2"/>
    <x v="0"/>
    <x v="5"/>
    <x v="1"/>
    <x v="7"/>
    <n v="0"/>
    <x v="29"/>
    <x v="3"/>
    <s v="Kolkata"/>
  </r>
  <r>
    <n v="54662150"/>
    <s v="Prerak Zacharia"/>
    <x v="9"/>
    <x v="40"/>
    <n v="1569"/>
    <x v="0"/>
    <x v="4"/>
    <x v="8"/>
    <x v="0"/>
    <x v="0"/>
    <n v="0"/>
    <x v="35"/>
    <x v="0"/>
    <s v="Hyderabad"/>
  </r>
  <r>
    <n v="45082504"/>
    <s v="Hiran Upadhyay"/>
    <x v="4"/>
    <x v="41"/>
    <n v="23775"/>
    <x v="0"/>
    <x v="4"/>
    <x v="7"/>
    <x v="0"/>
    <x v="6"/>
    <n v="0"/>
    <x v="36"/>
    <x v="1"/>
    <s v="Mumbai"/>
  </r>
  <r>
    <n v="54121424"/>
    <s v="Mamooty Vyas"/>
    <x v="1"/>
    <x v="42"/>
    <n v="6711"/>
    <x v="3"/>
    <x v="4"/>
    <x v="0"/>
    <x v="0"/>
    <x v="8"/>
    <n v="0"/>
    <x v="5"/>
    <x v="1"/>
    <s v="Kochi"/>
  </r>
  <r>
    <n v="72144690"/>
    <s v="Samar Tandon"/>
    <x v="6"/>
    <x v="13"/>
    <n v="16974"/>
    <x v="1"/>
    <x v="2"/>
    <x v="4"/>
    <x v="1"/>
    <x v="8"/>
    <n v="0"/>
    <x v="37"/>
    <x v="5"/>
    <s v="Chennai"/>
  </r>
  <r>
    <n v="52166999"/>
    <s v="Pari Behl"/>
    <x v="3"/>
    <x v="43"/>
    <n v="14653"/>
    <x v="3"/>
    <x v="1"/>
    <x v="1"/>
    <x v="3"/>
    <x v="1"/>
    <n v="0"/>
    <x v="34"/>
    <x v="0"/>
    <s v="Chennai"/>
  </r>
  <r>
    <n v="50032908"/>
    <s v="Yakshit Saran"/>
    <x v="3"/>
    <x v="44"/>
    <n v="9248"/>
    <x v="0"/>
    <x v="0"/>
    <x v="6"/>
    <x v="2"/>
    <x v="3"/>
    <n v="0"/>
    <x v="38"/>
    <x v="3"/>
    <s v="Kochi"/>
  </r>
  <r>
    <n v="81281786"/>
    <s v="Drishya Ganesan"/>
    <x v="1"/>
    <x v="45"/>
    <n v="23122"/>
    <x v="1"/>
    <x v="2"/>
    <x v="6"/>
    <x v="2"/>
    <x v="3"/>
    <n v="0"/>
    <x v="39"/>
    <x v="2"/>
    <s v="Delhi"/>
  </r>
  <r>
    <n v="83454657"/>
    <s v="Misha Kashyap"/>
    <x v="5"/>
    <x v="46"/>
    <n v="842"/>
    <x v="0"/>
    <x v="2"/>
    <x v="6"/>
    <x v="3"/>
    <x v="5"/>
    <n v="0"/>
    <x v="40"/>
    <x v="3"/>
    <s v="Hyderabad"/>
  </r>
  <r>
    <n v="17097793"/>
    <s v="Ranbir Shankar"/>
    <x v="1"/>
    <x v="47"/>
    <n v="5546"/>
    <x v="3"/>
    <x v="4"/>
    <x v="0"/>
    <x v="0"/>
    <x v="8"/>
    <n v="0"/>
    <x v="24"/>
    <x v="4"/>
    <s v="Chennai"/>
  </r>
  <r>
    <n v="34894049"/>
    <s v="Onkar Deol"/>
    <x v="3"/>
    <x v="48"/>
    <n v="16758"/>
    <x v="1"/>
    <x v="0"/>
    <x v="4"/>
    <x v="3"/>
    <x v="2"/>
    <n v="0"/>
    <x v="37"/>
    <x v="2"/>
    <s v="Delhi"/>
  </r>
  <r>
    <n v="84776733"/>
    <s v="Nakul Upadhyay"/>
    <x v="7"/>
    <x v="49"/>
    <n v="4351"/>
    <x v="3"/>
    <x v="0"/>
    <x v="8"/>
    <x v="0"/>
    <x v="6"/>
    <n v="1"/>
    <x v="35"/>
    <x v="4"/>
    <s v="Jaipur"/>
  </r>
  <r>
    <n v="92240744"/>
    <s v="Tanya Shanker"/>
    <x v="4"/>
    <x v="50"/>
    <n v="16904"/>
    <x v="3"/>
    <x v="2"/>
    <x v="9"/>
    <x v="3"/>
    <x v="4"/>
    <n v="1"/>
    <x v="1"/>
    <x v="3"/>
    <s v="Chennai"/>
  </r>
  <r>
    <n v="67571367"/>
    <s v="Priyansh Sangha"/>
    <x v="3"/>
    <x v="51"/>
    <n v="19397"/>
    <x v="1"/>
    <x v="2"/>
    <x v="3"/>
    <x v="3"/>
    <x v="3"/>
    <n v="1"/>
    <x v="41"/>
    <x v="0"/>
    <s v="Lucknow"/>
  </r>
  <r>
    <n v="53817550"/>
    <s v="Aniruddh Sem"/>
    <x v="4"/>
    <x v="52"/>
    <n v="16870"/>
    <x v="2"/>
    <x v="4"/>
    <x v="2"/>
    <x v="0"/>
    <x v="6"/>
    <n v="0"/>
    <x v="20"/>
    <x v="2"/>
    <s v="Hyderabad"/>
  </r>
  <r>
    <n v="36057699"/>
    <s v="Oorja Dhillon"/>
    <x v="0"/>
    <x v="53"/>
    <n v="4014"/>
    <x v="1"/>
    <x v="0"/>
    <x v="6"/>
    <x v="2"/>
    <x v="7"/>
    <n v="0"/>
    <x v="10"/>
    <x v="4"/>
    <s v="Jaipur"/>
  </r>
  <r>
    <n v="90448570"/>
    <s v="Myra Baral"/>
    <x v="9"/>
    <x v="54"/>
    <n v="20415"/>
    <x v="1"/>
    <x v="3"/>
    <x v="2"/>
    <x v="2"/>
    <x v="3"/>
    <n v="0"/>
    <x v="42"/>
    <x v="3"/>
    <s v="Jaipur"/>
  </r>
  <r>
    <n v="39560366"/>
    <s v="Raghav Goswami"/>
    <x v="3"/>
    <x v="55"/>
    <n v="14479"/>
    <x v="0"/>
    <x v="0"/>
    <x v="9"/>
    <x v="3"/>
    <x v="1"/>
    <n v="0"/>
    <x v="43"/>
    <x v="4"/>
    <s v="Delhi"/>
  </r>
  <r>
    <n v="45163069"/>
    <s v="Jivin Shah"/>
    <x v="3"/>
    <x v="4"/>
    <n v="1603"/>
    <x v="0"/>
    <x v="2"/>
    <x v="9"/>
    <x v="3"/>
    <x v="6"/>
    <n v="0"/>
    <x v="44"/>
    <x v="0"/>
    <s v="Kolkata"/>
  </r>
  <r>
    <n v="24538975"/>
    <s v="Indranil Dar"/>
    <x v="0"/>
    <x v="56"/>
    <n v="11770"/>
    <x v="0"/>
    <x v="0"/>
    <x v="3"/>
    <x v="1"/>
    <x v="4"/>
    <n v="0"/>
    <x v="38"/>
    <x v="2"/>
    <s v="Kolkata"/>
  </r>
  <r>
    <n v="65571276"/>
    <s v="Siya Mand"/>
    <x v="5"/>
    <x v="4"/>
    <n v="3431"/>
    <x v="3"/>
    <x v="2"/>
    <x v="4"/>
    <x v="3"/>
    <x v="3"/>
    <n v="0"/>
    <x v="16"/>
    <x v="4"/>
    <s v="Chennai"/>
  </r>
  <r>
    <n v="58333520"/>
    <s v="Hridaan Lanka"/>
    <x v="0"/>
    <x v="57"/>
    <n v="9612"/>
    <x v="0"/>
    <x v="1"/>
    <x v="1"/>
    <x v="2"/>
    <x v="5"/>
    <n v="0"/>
    <x v="45"/>
    <x v="2"/>
    <s v="Ahmedabad"/>
  </r>
  <r>
    <n v="22921041"/>
    <s v="Devansh Dutta"/>
    <x v="2"/>
    <x v="58"/>
    <n v="23243"/>
    <x v="1"/>
    <x v="2"/>
    <x v="9"/>
    <x v="2"/>
    <x v="1"/>
    <n v="0"/>
    <x v="46"/>
    <x v="3"/>
    <s v="Kochi"/>
  </r>
  <r>
    <n v="66957487"/>
    <s v="Prisha Sani"/>
    <x v="1"/>
    <x v="27"/>
    <n v="23671"/>
    <x v="0"/>
    <x v="4"/>
    <x v="2"/>
    <x v="1"/>
    <x v="4"/>
    <n v="0"/>
    <x v="47"/>
    <x v="0"/>
    <s v="Jaipur"/>
  </r>
  <r>
    <n v="50449721"/>
    <s v="Anika Kaur"/>
    <x v="6"/>
    <x v="59"/>
    <n v="5188"/>
    <x v="0"/>
    <x v="4"/>
    <x v="3"/>
    <x v="1"/>
    <x v="6"/>
    <n v="1"/>
    <x v="48"/>
    <x v="3"/>
    <s v="Delhi"/>
  </r>
  <r>
    <n v="75029599"/>
    <s v="Hrishita Mangal"/>
    <x v="3"/>
    <x v="60"/>
    <n v="11728"/>
    <x v="1"/>
    <x v="3"/>
    <x v="5"/>
    <x v="3"/>
    <x v="0"/>
    <n v="0"/>
    <x v="19"/>
    <x v="2"/>
    <s v="Lucknow"/>
  </r>
  <r>
    <n v="90805536"/>
    <s v="Urvi Gole"/>
    <x v="5"/>
    <x v="1"/>
    <n v="1056"/>
    <x v="1"/>
    <x v="1"/>
    <x v="4"/>
    <x v="0"/>
    <x v="7"/>
    <n v="0"/>
    <x v="49"/>
    <x v="0"/>
    <s v="Ahmedabad"/>
  </r>
  <r>
    <n v="84143515"/>
    <s v="Neysa Bir"/>
    <x v="9"/>
    <x v="61"/>
    <n v="6783"/>
    <x v="1"/>
    <x v="0"/>
    <x v="2"/>
    <x v="0"/>
    <x v="4"/>
    <n v="0"/>
    <x v="26"/>
    <x v="3"/>
    <s v="Kolkata"/>
  </r>
  <r>
    <n v="81421351"/>
    <s v="Aaina Kanda"/>
    <x v="4"/>
    <x v="62"/>
    <n v="19964"/>
    <x v="1"/>
    <x v="3"/>
    <x v="8"/>
    <x v="0"/>
    <x v="0"/>
    <n v="0"/>
    <x v="42"/>
    <x v="4"/>
    <s v="Bangalore"/>
  </r>
  <r>
    <n v="48347365"/>
    <s v="Mannat Krishnamurthy"/>
    <x v="4"/>
    <x v="63"/>
    <n v="7131"/>
    <x v="3"/>
    <x v="3"/>
    <x v="8"/>
    <x v="0"/>
    <x v="1"/>
    <n v="0"/>
    <x v="50"/>
    <x v="4"/>
    <s v="Delhi"/>
  </r>
  <r>
    <n v="32663828"/>
    <s v="Jivin Tripathi"/>
    <x v="8"/>
    <x v="64"/>
    <n v="7525"/>
    <x v="1"/>
    <x v="2"/>
    <x v="2"/>
    <x v="1"/>
    <x v="2"/>
    <n v="0"/>
    <x v="28"/>
    <x v="0"/>
    <s v="Ahmedabad"/>
  </r>
  <r>
    <n v="80937684"/>
    <s v="Samaira Sahni"/>
    <x v="6"/>
    <x v="30"/>
    <n v="16351"/>
    <x v="1"/>
    <x v="4"/>
    <x v="2"/>
    <x v="0"/>
    <x v="6"/>
    <n v="0"/>
    <x v="39"/>
    <x v="0"/>
    <s v="Mumbai"/>
  </r>
  <r>
    <n v="87301985"/>
    <s v="Kimaya Buch"/>
    <x v="7"/>
    <x v="65"/>
    <n v="21512"/>
    <x v="1"/>
    <x v="2"/>
    <x v="3"/>
    <x v="0"/>
    <x v="2"/>
    <n v="0"/>
    <x v="30"/>
    <x v="4"/>
    <s v="Lucknow"/>
  </r>
  <r>
    <n v="72182629"/>
    <s v="Samaira Goswami"/>
    <x v="7"/>
    <x v="66"/>
    <n v="20170"/>
    <x v="1"/>
    <x v="3"/>
    <x v="1"/>
    <x v="0"/>
    <x v="2"/>
    <n v="0"/>
    <x v="20"/>
    <x v="4"/>
    <s v="Jaipur"/>
  </r>
  <r>
    <n v="23733893"/>
    <s v="Samaira Bansal"/>
    <x v="5"/>
    <x v="67"/>
    <n v="11347"/>
    <x v="1"/>
    <x v="0"/>
    <x v="0"/>
    <x v="0"/>
    <x v="8"/>
    <n v="0"/>
    <x v="51"/>
    <x v="0"/>
    <s v="Hyderabad"/>
  </r>
  <r>
    <n v="21412415"/>
    <s v="Riya Rajagopalan"/>
    <x v="8"/>
    <x v="68"/>
    <n v="21657"/>
    <x v="1"/>
    <x v="3"/>
    <x v="2"/>
    <x v="0"/>
    <x v="8"/>
    <n v="0"/>
    <x v="48"/>
    <x v="4"/>
    <s v="Bangalore"/>
  </r>
  <r>
    <n v="42755409"/>
    <s v="Alia Sani"/>
    <x v="8"/>
    <x v="69"/>
    <n v="24075"/>
    <x v="1"/>
    <x v="4"/>
    <x v="0"/>
    <x v="3"/>
    <x v="6"/>
    <n v="0"/>
    <x v="13"/>
    <x v="0"/>
    <s v="Bangalore"/>
  </r>
  <r>
    <n v="36099694"/>
    <s v="Divij Chatterjee"/>
    <x v="5"/>
    <x v="56"/>
    <n v="14154"/>
    <x v="2"/>
    <x v="3"/>
    <x v="1"/>
    <x v="3"/>
    <x v="6"/>
    <n v="0"/>
    <x v="27"/>
    <x v="3"/>
    <s v="Lucknow"/>
  </r>
  <r>
    <n v="34550377"/>
    <s v="Kartik Khatri"/>
    <x v="0"/>
    <x v="70"/>
    <n v="23336"/>
    <x v="0"/>
    <x v="2"/>
    <x v="5"/>
    <x v="0"/>
    <x v="8"/>
    <n v="0"/>
    <x v="52"/>
    <x v="4"/>
    <s v="Delhi"/>
  </r>
  <r>
    <n v="13995329"/>
    <s v="Mohanlal Vyas"/>
    <x v="1"/>
    <x v="71"/>
    <n v="3837"/>
    <x v="0"/>
    <x v="3"/>
    <x v="0"/>
    <x v="3"/>
    <x v="4"/>
    <n v="0"/>
    <x v="53"/>
    <x v="4"/>
    <s v="Lucknow"/>
  </r>
  <r>
    <n v="22639242"/>
    <s v="Pari Bath"/>
    <x v="3"/>
    <x v="72"/>
    <n v="18705"/>
    <x v="1"/>
    <x v="0"/>
    <x v="1"/>
    <x v="0"/>
    <x v="3"/>
    <n v="1"/>
    <x v="54"/>
    <x v="5"/>
    <s v="Chennai"/>
  </r>
  <r>
    <n v="24287784"/>
    <s v="Ranbir Buch"/>
    <x v="1"/>
    <x v="73"/>
    <n v="22715"/>
    <x v="0"/>
    <x v="1"/>
    <x v="4"/>
    <x v="0"/>
    <x v="7"/>
    <n v="0"/>
    <x v="55"/>
    <x v="2"/>
    <s v="Mumbai"/>
  </r>
  <r>
    <n v="38716212"/>
    <s v="Aniruddh Choudhury"/>
    <x v="2"/>
    <x v="74"/>
    <n v="2094"/>
    <x v="2"/>
    <x v="3"/>
    <x v="8"/>
    <x v="2"/>
    <x v="3"/>
    <n v="1"/>
    <x v="56"/>
    <x v="2"/>
    <s v="Kolkata"/>
  </r>
  <r>
    <n v="50152639"/>
    <s v="Divij Venkatesh"/>
    <x v="4"/>
    <x v="73"/>
    <n v="24973"/>
    <x v="1"/>
    <x v="0"/>
    <x v="0"/>
    <x v="3"/>
    <x v="8"/>
    <n v="0"/>
    <x v="11"/>
    <x v="3"/>
    <s v="Bangalore"/>
  </r>
  <r>
    <n v="10560987"/>
    <s v="Priyansh Sandal"/>
    <x v="5"/>
    <x v="75"/>
    <n v="19521"/>
    <x v="3"/>
    <x v="2"/>
    <x v="3"/>
    <x v="2"/>
    <x v="8"/>
    <n v="1"/>
    <x v="57"/>
    <x v="0"/>
    <s v="Ahmedabad"/>
  </r>
  <r>
    <n v="62563619"/>
    <s v="Amani Tak"/>
    <x v="3"/>
    <x v="76"/>
    <n v="832"/>
    <x v="0"/>
    <x v="0"/>
    <x v="3"/>
    <x v="0"/>
    <x v="1"/>
    <n v="0"/>
    <x v="11"/>
    <x v="3"/>
    <s v="Bangalore"/>
  </r>
  <r>
    <n v="40409910"/>
    <s v="Dishani Acharya"/>
    <x v="2"/>
    <x v="77"/>
    <n v="1695"/>
    <x v="1"/>
    <x v="0"/>
    <x v="4"/>
    <x v="2"/>
    <x v="2"/>
    <n v="1"/>
    <x v="2"/>
    <x v="2"/>
    <s v="Jaipur"/>
  </r>
  <r>
    <n v="10117276"/>
    <s v="Vivaan Agrawal"/>
    <x v="1"/>
    <x v="60"/>
    <n v="6908"/>
    <x v="1"/>
    <x v="0"/>
    <x v="5"/>
    <x v="1"/>
    <x v="4"/>
    <n v="0"/>
    <x v="57"/>
    <x v="5"/>
    <s v="Kolkata"/>
  </r>
  <r>
    <n v="75147301"/>
    <s v="Anvi Srinivasan"/>
    <x v="3"/>
    <x v="78"/>
    <n v="9688"/>
    <x v="3"/>
    <x v="1"/>
    <x v="4"/>
    <x v="1"/>
    <x v="4"/>
    <n v="0"/>
    <x v="58"/>
    <x v="2"/>
    <s v="Ahmedabad"/>
  </r>
  <r>
    <n v="53631628"/>
    <s v="Biju Chopra"/>
    <x v="4"/>
    <x v="79"/>
    <n v="20610"/>
    <x v="0"/>
    <x v="2"/>
    <x v="1"/>
    <x v="3"/>
    <x v="0"/>
    <n v="0"/>
    <x v="34"/>
    <x v="4"/>
    <s v="Ahmedabad"/>
  </r>
  <r>
    <n v="95200804"/>
    <s v="Saira Ganguly"/>
    <x v="1"/>
    <x v="80"/>
    <n v="2790"/>
    <x v="0"/>
    <x v="0"/>
    <x v="3"/>
    <x v="0"/>
    <x v="2"/>
    <n v="0"/>
    <x v="59"/>
    <x v="5"/>
    <s v="Delhi"/>
  </r>
  <r>
    <n v="89200981"/>
    <s v="Navya Randhawa"/>
    <x v="4"/>
    <x v="81"/>
    <n v="2861"/>
    <x v="2"/>
    <x v="1"/>
    <x v="8"/>
    <x v="3"/>
    <x v="1"/>
    <n v="0"/>
    <x v="12"/>
    <x v="4"/>
    <s v="Bangalore"/>
  </r>
  <r>
    <n v="15784540"/>
    <s v="Ritvik Jha"/>
    <x v="9"/>
    <x v="82"/>
    <n v="3776"/>
    <x v="1"/>
    <x v="2"/>
    <x v="2"/>
    <x v="1"/>
    <x v="5"/>
    <n v="1"/>
    <x v="53"/>
    <x v="3"/>
    <s v="Kolkata"/>
  </r>
  <r>
    <n v="65154221"/>
    <s v="Rohan Devi"/>
    <x v="6"/>
    <x v="83"/>
    <n v="2760"/>
    <x v="1"/>
    <x v="2"/>
    <x v="3"/>
    <x v="2"/>
    <x v="0"/>
    <n v="0"/>
    <x v="20"/>
    <x v="4"/>
    <s v="Bangalore"/>
  </r>
  <r>
    <n v="87824397"/>
    <s v="Mohanlal Bhat"/>
    <x v="9"/>
    <x v="84"/>
    <n v="18868"/>
    <x v="1"/>
    <x v="3"/>
    <x v="6"/>
    <x v="1"/>
    <x v="7"/>
    <n v="0"/>
    <x v="58"/>
    <x v="1"/>
    <s v="Delhi"/>
  </r>
  <r>
    <n v="21065610"/>
    <s v="Prerak Shan"/>
    <x v="0"/>
    <x v="85"/>
    <n v="7764"/>
    <x v="2"/>
    <x v="4"/>
    <x v="2"/>
    <x v="3"/>
    <x v="4"/>
    <n v="0"/>
    <x v="60"/>
    <x v="4"/>
    <s v="Hyderabad"/>
  </r>
  <r>
    <n v="23921117"/>
    <s v="Adah Vyas"/>
    <x v="5"/>
    <x v="83"/>
    <n v="18020"/>
    <x v="1"/>
    <x v="0"/>
    <x v="3"/>
    <x v="3"/>
    <x v="6"/>
    <n v="0"/>
    <x v="5"/>
    <x v="3"/>
    <s v="Bangalore"/>
  </r>
  <r>
    <n v="22421404"/>
    <s v="Gokul Mani"/>
    <x v="3"/>
    <x v="86"/>
    <n v="4965"/>
    <x v="0"/>
    <x v="2"/>
    <x v="7"/>
    <x v="0"/>
    <x v="3"/>
    <n v="1"/>
    <x v="61"/>
    <x v="3"/>
    <s v="Ahmedabad"/>
  </r>
  <r>
    <n v="84552344"/>
    <s v="Lakshay Loyal"/>
    <x v="7"/>
    <x v="87"/>
    <n v="13733"/>
    <x v="2"/>
    <x v="0"/>
    <x v="0"/>
    <x v="0"/>
    <x v="3"/>
    <n v="1"/>
    <x v="62"/>
    <x v="4"/>
    <s v="Mumbai"/>
  </r>
  <r>
    <n v="78149926"/>
    <s v="Keya Chanda"/>
    <x v="8"/>
    <x v="88"/>
    <n v="20336"/>
    <x v="3"/>
    <x v="0"/>
    <x v="9"/>
    <x v="0"/>
    <x v="5"/>
    <n v="0"/>
    <x v="13"/>
    <x v="4"/>
    <s v="Jaipur"/>
  </r>
  <r>
    <n v="61148006"/>
    <s v="Tanya Bansal"/>
    <x v="6"/>
    <x v="89"/>
    <n v="16906"/>
    <x v="2"/>
    <x v="1"/>
    <x v="2"/>
    <x v="1"/>
    <x v="6"/>
    <n v="0"/>
    <x v="63"/>
    <x v="4"/>
    <s v="Jaipur"/>
  </r>
  <r>
    <n v="34034948"/>
    <s v="Indranil Sura"/>
    <x v="8"/>
    <x v="30"/>
    <n v="8161"/>
    <x v="0"/>
    <x v="3"/>
    <x v="7"/>
    <x v="1"/>
    <x v="1"/>
    <n v="0"/>
    <x v="59"/>
    <x v="0"/>
    <s v="Chennai"/>
  </r>
  <r>
    <n v="62554708"/>
    <s v="Mannat Mandal"/>
    <x v="3"/>
    <x v="62"/>
    <n v="22728"/>
    <x v="2"/>
    <x v="4"/>
    <x v="3"/>
    <x v="1"/>
    <x v="1"/>
    <n v="0"/>
    <x v="64"/>
    <x v="0"/>
    <s v="Bangalore"/>
  </r>
  <r>
    <n v="47813903"/>
    <s v="Sumer Lall"/>
    <x v="5"/>
    <x v="9"/>
    <n v="10680"/>
    <x v="3"/>
    <x v="3"/>
    <x v="2"/>
    <x v="1"/>
    <x v="4"/>
    <n v="0"/>
    <x v="65"/>
    <x v="3"/>
    <s v="Hyderabad"/>
  </r>
  <r>
    <n v="58961246"/>
    <s v="Armaan Sha"/>
    <x v="8"/>
    <x v="90"/>
    <n v="20904"/>
    <x v="1"/>
    <x v="1"/>
    <x v="7"/>
    <x v="2"/>
    <x v="7"/>
    <n v="0"/>
    <x v="10"/>
    <x v="5"/>
    <s v="Kochi"/>
  </r>
  <r>
    <n v="42445507"/>
    <s v="Vardaniya Lad"/>
    <x v="8"/>
    <x v="91"/>
    <n v="1295"/>
    <x v="3"/>
    <x v="0"/>
    <x v="2"/>
    <x v="1"/>
    <x v="6"/>
    <n v="1"/>
    <x v="5"/>
    <x v="3"/>
    <s v="Lucknow"/>
  </r>
  <r>
    <n v="69187765"/>
    <s v="Onkar Bora"/>
    <x v="7"/>
    <x v="92"/>
    <n v="23512"/>
    <x v="1"/>
    <x v="3"/>
    <x v="5"/>
    <x v="0"/>
    <x v="8"/>
    <n v="0"/>
    <x v="40"/>
    <x v="1"/>
    <s v="Kochi"/>
  </r>
  <r>
    <n v="99192536"/>
    <s v="Fateh Wali"/>
    <x v="3"/>
    <x v="93"/>
    <n v="24736"/>
    <x v="0"/>
    <x v="0"/>
    <x v="2"/>
    <x v="1"/>
    <x v="6"/>
    <n v="1"/>
    <x v="7"/>
    <x v="2"/>
    <s v="Kolkata"/>
  </r>
  <r>
    <n v="10149344"/>
    <s v="Saira Dhillon"/>
    <x v="1"/>
    <x v="94"/>
    <n v="5543"/>
    <x v="1"/>
    <x v="4"/>
    <x v="8"/>
    <x v="0"/>
    <x v="2"/>
    <n v="0"/>
    <x v="66"/>
    <x v="0"/>
    <s v="Chennai"/>
  </r>
  <r>
    <n v="82127371"/>
    <s v="Anay Dara"/>
    <x v="6"/>
    <x v="95"/>
    <n v="13102"/>
    <x v="1"/>
    <x v="1"/>
    <x v="4"/>
    <x v="3"/>
    <x v="3"/>
    <n v="1"/>
    <x v="6"/>
    <x v="1"/>
    <s v="Bangalore"/>
  </r>
  <r>
    <n v="74082692"/>
    <s v="Sana Manne"/>
    <x v="3"/>
    <x v="96"/>
    <n v="11335"/>
    <x v="2"/>
    <x v="2"/>
    <x v="1"/>
    <x v="0"/>
    <x v="8"/>
    <n v="0"/>
    <x v="60"/>
    <x v="0"/>
    <s v="Kochi"/>
  </r>
  <r>
    <n v="93730832"/>
    <s v="Yuvraj  Suri"/>
    <x v="4"/>
    <x v="97"/>
    <n v="20131"/>
    <x v="1"/>
    <x v="1"/>
    <x v="7"/>
    <x v="1"/>
    <x v="3"/>
    <n v="1"/>
    <x v="55"/>
    <x v="2"/>
    <s v="Hyderabad"/>
  </r>
  <r>
    <n v="27315999"/>
    <s v="Aarush Chaudhary"/>
    <x v="8"/>
    <x v="98"/>
    <n v="12332"/>
    <x v="1"/>
    <x v="3"/>
    <x v="5"/>
    <x v="0"/>
    <x v="0"/>
    <n v="0"/>
    <x v="34"/>
    <x v="2"/>
    <s v="Kochi"/>
  </r>
  <r>
    <n v="50880858"/>
    <s v="Rasha Uppal"/>
    <x v="8"/>
    <x v="31"/>
    <n v="14191"/>
    <x v="3"/>
    <x v="2"/>
    <x v="1"/>
    <x v="0"/>
    <x v="8"/>
    <n v="0"/>
    <x v="23"/>
    <x v="3"/>
    <s v="Bangalore"/>
  </r>
  <r>
    <n v="91232868"/>
    <s v="Jivika Bhatia"/>
    <x v="1"/>
    <x v="36"/>
    <n v="8956"/>
    <x v="3"/>
    <x v="4"/>
    <x v="1"/>
    <x v="3"/>
    <x v="8"/>
    <n v="0"/>
    <x v="3"/>
    <x v="3"/>
    <s v="Kolkata"/>
  </r>
  <r>
    <n v="37845729"/>
    <s v="Eva Maharaj"/>
    <x v="8"/>
    <x v="99"/>
    <n v="17448"/>
    <x v="1"/>
    <x v="2"/>
    <x v="9"/>
    <x v="2"/>
    <x v="8"/>
    <n v="1"/>
    <x v="6"/>
    <x v="4"/>
    <s v="Chennai"/>
  </r>
  <r>
    <n v="64308049"/>
    <s v="Zoya Borra"/>
    <x v="6"/>
    <x v="100"/>
    <n v="10110"/>
    <x v="0"/>
    <x v="2"/>
    <x v="6"/>
    <x v="3"/>
    <x v="7"/>
    <n v="0"/>
    <x v="50"/>
    <x v="5"/>
    <s v="Ahmedabad"/>
  </r>
  <r>
    <n v="37400867"/>
    <s v="Ira Mander"/>
    <x v="3"/>
    <x v="54"/>
    <n v="1711"/>
    <x v="1"/>
    <x v="1"/>
    <x v="2"/>
    <x v="3"/>
    <x v="7"/>
    <n v="0"/>
    <x v="13"/>
    <x v="1"/>
    <s v="Kolkata"/>
  </r>
  <r>
    <n v="87852293"/>
    <s v="Aniruddh Chander"/>
    <x v="5"/>
    <x v="101"/>
    <n v="9742"/>
    <x v="1"/>
    <x v="4"/>
    <x v="6"/>
    <x v="0"/>
    <x v="6"/>
    <n v="0"/>
    <x v="17"/>
    <x v="5"/>
    <s v="Jaipur"/>
  </r>
  <r>
    <n v="18250402"/>
    <s v="Devansh Rattan"/>
    <x v="1"/>
    <x v="71"/>
    <n v="13965"/>
    <x v="1"/>
    <x v="4"/>
    <x v="7"/>
    <x v="3"/>
    <x v="7"/>
    <n v="0"/>
    <x v="31"/>
    <x v="2"/>
    <s v="Kochi"/>
  </r>
  <r>
    <n v="85509756"/>
    <s v="Aradhya Bahri"/>
    <x v="0"/>
    <x v="102"/>
    <n v="9632"/>
    <x v="0"/>
    <x v="4"/>
    <x v="3"/>
    <x v="1"/>
    <x v="6"/>
    <n v="0"/>
    <x v="67"/>
    <x v="0"/>
    <s v="Hyderabad"/>
  </r>
  <r>
    <n v="21329759"/>
    <s v="Aradhya Saha"/>
    <x v="3"/>
    <x v="103"/>
    <n v="10960"/>
    <x v="1"/>
    <x v="2"/>
    <x v="2"/>
    <x v="1"/>
    <x v="2"/>
    <n v="1"/>
    <x v="68"/>
    <x v="4"/>
    <s v="Ahmedabad"/>
  </r>
  <r>
    <n v="10260467"/>
    <s v="Manikya Halder"/>
    <x v="7"/>
    <x v="104"/>
    <n v="22184"/>
    <x v="1"/>
    <x v="4"/>
    <x v="7"/>
    <x v="1"/>
    <x v="7"/>
    <n v="1"/>
    <x v="20"/>
    <x v="1"/>
    <s v="Bangalore"/>
  </r>
  <r>
    <n v="33505820"/>
    <s v="Zara Chopra"/>
    <x v="8"/>
    <x v="105"/>
    <n v="24174"/>
    <x v="3"/>
    <x v="3"/>
    <x v="7"/>
    <x v="1"/>
    <x v="7"/>
    <n v="0"/>
    <x v="69"/>
    <x v="0"/>
    <s v="Kochi"/>
  </r>
  <r>
    <n v="26209976"/>
    <s v="Mishti Tripathi"/>
    <x v="6"/>
    <x v="106"/>
    <n v="7917"/>
    <x v="2"/>
    <x v="4"/>
    <x v="4"/>
    <x v="1"/>
    <x v="0"/>
    <n v="0"/>
    <x v="2"/>
    <x v="4"/>
    <s v="Chennai"/>
  </r>
  <r>
    <n v="76975447"/>
    <s v="Aaryahi Vaidya"/>
    <x v="6"/>
    <x v="107"/>
    <n v="10563"/>
    <x v="1"/>
    <x v="3"/>
    <x v="9"/>
    <x v="2"/>
    <x v="7"/>
    <n v="0"/>
    <x v="20"/>
    <x v="5"/>
    <s v="Hyderabad"/>
  </r>
  <r>
    <n v="64841897"/>
    <s v="Lagan Grover"/>
    <x v="7"/>
    <x v="108"/>
    <n v="1654"/>
    <x v="1"/>
    <x v="4"/>
    <x v="0"/>
    <x v="2"/>
    <x v="6"/>
    <n v="0"/>
    <x v="44"/>
    <x v="4"/>
    <s v="Hyderabad"/>
  </r>
  <r>
    <n v="31962281"/>
    <s v="Prisha Warrior"/>
    <x v="0"/>
    <x v="109"/>
    <n v="24837"/>
    <x v="1"/>
    <x v="2"/>
    <x v="9"/>
    <x v="3"/>
    <x v="1"/>
    <n v="0"/>
    <x v="41"/>
    <x v="0"/>
    <s v="Bangalore"/>
  </r>
  <r>
    <n v="70845514"/>
    <s v="Ela Gara"/>
    <x v="7"/>
    <x v="110"/>
    <n v="17654"/>
    <x v="0"/>
    <x v="2"/>
    <x v="5"/>
    <x v="1"/>
    <x v="8"/>
    <n v="0"/>
    <x v="33"/>
    <x v="3"/>
    <s v="Chennai"/>
  </r>
  <r>
    <n v="15820659"/>
    <s v="Siya Khatri"/>
    <x v="0"/>
    <x v="111"/>
    <n v="12378"/>
    <x v="0"/>
    <x v="4"/>
    <x v="9"/>
    <x v="1"/>
    <x v="6"/>
    <n v="1"/>
    <x v="27"/>
    <x v="1"/>
    <s v="Lucknow"/>
  </r>
  <r>
    <n v="28323079"/>
    <s v="Badal Ranganathan"/>
    <x v="6"/>
    <x v="112"/>
    <n v="13552"/>
    <x v="0"/>
    <x v="0"/>
    <x v="7"/>
    <x v="0"/>
    <x v="3"/>
    <n v="1"/>
    <x v="32"/>
    <x v="4"/>
    <s v="Delhi"/>
  </r>
  <r>
    <n v="28074472"/>
    <s v="Manikya Balasubramanian"/>
    <x v="4"/>
    <x v="69"/>
    <n v="19447"/>
    <x v="3"/>
    <x v="4"/>
    <x v="1"/>
    <x v="3"/>
    <x v="7"/>
    <n v="0"/>
    <x v="70"/>
    <x v="1"/>
    <s v="Jaipur"/>
  </r>
  <r>
    <n v="67323481"/>
    <s v="Aaina Borra"/>
    <x v="1"/>
    <x v="56"/>
    <n v="7856"/>
    <x v="1"/>
    <x v="2"/>
    <x v="2"/>
    <x v="3"/>
    <x v="1"/>
    <n v="0"/>
    <x v="71"/>
    <x v="3"/>
    <s v="Chennai"/>
  </r>
  <r>
    <n v="31110526"/>
    <s v="Prerak Tandon"/>
    <x v="7"/>
    <x v="113"/>
    <n v="13146"/>
    <x v="1"/>
    <x v="0"/>
    <x v="2"/>
    <x v="3"/>
    <x v="0"/>
    <n v="1"/>
    <x v="60"/>
    <x v="0"/>
    <s v="Ahmedabad"/>
  </r>
  <r>
    <n v="49552851"/>
    <s v="Anaya Krishna"/>
    <x v="5"/>
    <x v="114"/>
    <n v="15039"/>
    <x v="1"/>
    <x v="1"/>
    <x v="3"/>
    <x v="0"/>
    <x v="6"/>
    <n v="0"/>
    <x v="11"/>
    <x v="2"/>
    <s v="Jaipur"/>
  </r>
  <r>
    <n v="52543004"/>
    <s v="Kashvi Loyal"/>
    <x v="7"/>
    <x v="115"/>
    <n v="10725"/>
    <x v="1"/>
    <x v="2"/>
    <x v="2"/>
    <x v="0"/>
    <x v="5"/>
    <n v="0"/>
    <x v="22"/>
    <x v="0"/>
    <s v="Hyderabad"/>
  </r>
  <r>
    <n v="85124381"/>
    <s v="Saanvi Sem"/>
    <x v="0"/>
    <x v="116"/>
    <n v="3216"/>
    <x v="1"/>
    <x v="1"/>
    <x v="6"/>
    <x v="0"/>
    <x v="5"/>
    <n v="0"/>
    <x v="71"/>
    <x v="0"/>
    <s v="Bangalore"/>
  </r>
  <r>
    <n v="42494131"/>
    <s v="Vanya Hayre"/>
    <x v="0"/>
    <x v="79"/>
    <n v="14502"/>
    <x v="0"/>
    <x v="0"/>
    <x v="7"/>
    <x v="3"/>
    <x v="5"/>
    <n v="0"/>
    <x v="72"/>
    <x v="3"/>
    <s v="Hyderabad"/>
  </r>
  <r>
    <n v="47972186"/>
    <s v="Miraya Thaman"/>
    <x v="9"/>
    <x v="117"/>
    <n v="4168"/>
    <x v="2"/>
    <x v="0"/>
    <x v="9"/>
    <x v="2"/>
    <x v="0"/>
    <n v="0"/>
    <x v="20"/>
    <x v="0"/>
    <s v="Chennai"/>
  </r>
  <r>
    <n v="78953912"/>
    <s v="Ahana  Wagle"/>
    <x v="0"/>
    <x v="118"/>
    <n v="23256"/>
    <x v="3"/>
    <x v="3"/>
    <x v="2"/>
    <x v="1"/>
    <x v="5"/>
    <n v="0"/>
    <x v="29"/>
    <x v="0"/>
    <s v="Delhi"/>
  </r>
  <r>
    <n v="10869922"/>
    <s v="Jayesh Toor"/>
    <x v="3"/>
    <x v="119"/>
    <n v="22616"/>
    <x v="1"/>
    <x v="3"/>
    <x v="4"/>
    <x v="3"/>
    <x v="2"/>
    <n v="0"/>
    <x v="23"/>
    <x v="0"/>
    <s v="Mumbai"/>
  </r>
  <r>
    <n v="12113217"/>
    <s v="Jayesh Balan"/>
    <x v="1"/>
    <x v="120"/>
    <n v="23656"/>
    <x v="0"/>
    <x v="0"/>
    <x v="5"/>
    <x v="2"/>
    <x v="3"/>
    <n v="0"/>
    <x v="34"/>
    <x v="0"/>
    <s v="Chennai"/>
  </r>
  <r>
    <n v="39463165"/>
    <s v="Sara Master"/>
    <x v="2"/>
    <x v="4"/>
    <n v="11634"/>
    <x v="0"/>
    <x v="2"/>
    <x v="8"/>
    <x v="2"/>
    <x v="3"/>
    <n v="0"/>
    <x v="22"/>
    <x v="1"/>
    <s v="Delhi"/>
  </r>
  <r>
    <n v="10510765"/>
    <s v="Siya Varkey"/>
    <x v="6"/>
    <x v="121"/>
    <n v="4153"/>
    <x v="3"/>
    <x v="3"/>
    <x v="0"/>
    <x v="1"/>
    <x v="8"/>
    <n v="0"/>
    <x v="13"/>
    <x v="1"/>
    <s v="Chennai"/>
  </r>
  <r>
    <n v="63180732"/>
    <s v="Hiran Ghosh"/>
    <x v="3"/>
    <x v="119"/>
    <n v="14305"/>
    <x v="1"/>
    <x v="2"/>
    <x v="0"/>
    <x v="2"/>
    <x v="8"/>
    <n v="0"/>
    <x v="73"/>
    <x v="0"/>
    <s v="Hyderabad"/>
  </r>
  <r>
    <n v="37948619"/>
    <s v="Shlok Chaudhuri"/>
    <x v="5"/>
    <x v="122"/>
    <n v="6632"/>
    <x v="3"/>
    <x v="4"/>
    <x v="6"/>
    <x v="2"/>
    <x v="3"/>
    <n v="1"/>
    <x v="42"/>
    <x v="0"/>
    <s v="Mumbai"/>
  </r>
  <r>
    <n v="67851025"/>
    <s v="Aaryahi Deo"/>
    <x v="5"/>
    <x v="123"/>
    <n v="1017"/>
    <x v="3"/>
    <x v="2"/>
    <x v="0"/>
    <x v="1"/>
    <x v="7"/>
    <n v="1"/>
    <x v="35"/>
    <x v="5"/>
    <s v="Bangalore"/>
  </r>
  <r>
    <n v="19485119"/>
    <s v="Saanvi Chakraborty"/>
    <x v="9"/>
    <x v="81"/>
    <n v="18342"/>
    <x v="2"/>
    <x v="2"/>
    <x v="9"/>
    <x v="2"/>
    <x v="3"/>
    <n v="1"/>
    <x v="74"/>
    <x v="2"/>
    <s v="Mumbai"/>
  </r>
  <r>
    <n v="78596115"/>
    <s v="Alisha Das"/>
    <x v="7"/>
    <x v="124"/>
    <n v="4089"/>
    <x v="1"/>
    <x v="4"/>
    <x v="1"/>
    <x v="0"/>
    <x v="6"/>
    <n v="1"/>
    <x v="6"/>
    <x v="2"/>
    <s v="Chennai"/>
  </r>
  <r>
    <n v="97579806"/>
    <s v="Divit Bains"/>
    <x v="2"/>
    <x v="125"/>
    <n v="4161"/>
    <x v="1"/>
    <x v="2"/>
    <x v="1"/>
    <x v="3"/>
    <x v="7"/>
    <n v="0"/>
    <x v="63"/>
    <x v="0"/>
    <s v="Delhi"/>
  </r>
  <r>
    <n v="73506109"/>
    <s v="Adah Konda"/>
    <x v="1"/>
    <x v="126"/>
    <n v="5594"/>
    <x v="3"/>
    <x v="2"/>
    <x v="9"/>
    <x v="2"/>
    <x v="0"/>
    <n v="0"/>
    <x v="2"/>
    <x v="1"/>
    <s v="Ahmedabad"/>
  </r>
  <r>
    <n v="13543144"/>
    <s v="Alia Rana"/>
    <x v="9"/>
    <x v="127"/>
    <n v="7364"/>
    <x v="1"/>
    <x v="2"/>
    <x v="6"/>
    <x v="2"/>
    <x v="2"/>
    <n v="0"/>
    <x v="18"/>
    <x v="5"/>
    <s v="Chennai"/>
  </r>
  <r>
    <n v="79487668"/>
    <s v="Aniruddh Gala"/>
    <x v="0"/>
    <x v="128"/>
    <n v="19463"/>
    <x v="3"/>
    <x v="4"/>
    <x v="4"/>
    <x v="2"/>
    <x v="4"/>
    <n v="0"/>
    <x v="60"/>
    <x v="5"/>
    <s v="Kochi"/>
  </r>
  <r>
    <n v="27833354"/>
    <s v="Anvi Kakar"/>
    <x v="1"/>
    <x v="129"/>
    <n v="22622"/>
    <x v="2"/>
    <x v="4"/>
    <x v="8"/>
    <x v="1"/>
    <x v="1"/>
    <n v="1"/>
    <x v="13"/>
    <x v="4"/>
    <s v="Ahmedabad"/>
  </r>
  <r>
    <n v="61339463"/>
    <s v="Zain Grover"/>
    <x v="3"/>
    <x v="130"/>
    <n v="2026"/>
    <x v="0"/>
    <x v="2"/>
    <x v="0"/>
    <x v="1"/>
    <x v="3"/>
    <n v="0"/>
    <x v="36"/>
    <x v="1"/>
    <s v="Lucknow"/>
  </r>
  <r>
    <n v="72726544"/>
    <s v="Samar Brahmbhatt"/>
    <x v="5"/>
    <x v="127"/>
    <n v="6900"/>
    <x v="3"/>
    <x v="1"/>
    <x v="5"/>
    <x v="0"/>
    <x v="7"/>
    <n v="0"/>
    <x v="24"/>
    <x v="4"/>
    <s v="Delhi"/>
  </r>
  <r>
    <n v="33650131"/>
    <s v="Bhavin Sule"/>
    <x v="3"/>
    <x v="131"/>
    <n v="1239"/>
    <x v="1"/>
    <x v="2"/>
    <x v="6"/>
    <x v="3"/>
    <x v="3"/>
    <n v="0"/>
    <x v="19"/>
    <x v="3"/>
    <s v="Jaipur"/>
  </r>
  <r>
    <n v="16505245"/>
    <s v="Sumer Bala"/>
    <x v="5"/>
    <x v="27"/>
    <n v="1166"/>
    <x v="3"/>
    <x v="0"/>
    <x v="8"/>
    <x v="1"/>
    <x v="4"/>
    <n v="1"/>
    <x v="75"/>
    <x v="5"/>
    <s v="Ahmedabad"/>
  </r>
  <r>
    <n v="51331760"/>
    <s v="Heer Soni"/>
    <x v="6"/>
    <x v="36"/>
    <n v="13248"/>
    <x v="1"/>
    <x v="3"/>
    <x v="7"/>
    <x v="2"/>
    <x v="6"/>
    <n v="0"/>
    <x v="43"/>
    <x v="2"/>
    <s v="Ahmedabad"/>
  </r>
  <r>
    <n v="62791884"/>
    <s v="Jivin Hayer"/>
    <x v="8"/>
    <x v="109"/>
    <n v="795"/>
    <x v="3"/>
    <x v="1"/>
    <x v="6"/>
    <x v="1"/>
    <x v="5"/>
    <n v="0"/>
    <x v="6"/>
    <x v="4"/>
    <s v="Jaipur"/>
  </r>
  <r>
    <n v="17071283"/>
    <s v="Samaira Hayre"/>
    <x v="4"/>
    <x v="132"/>
    <n v="21466"/>
    <x v="1"/>
    <x v="0"/>
    <x v="2"/>
    <x v="1"/>
    <x v="8"/>
    <n v="0"/>
    <x v="45"/>
    <x v="3"/>
    <s v="Lucknow"/>
  </r>
  <r>
    <n v="57808916"/>
    <s v="Hunar Devan"/>
    <x v="6"/>
    <x v="133"/>
    <n v="2963"/>
    <x v="0"/>
    <x v="2"/>
    <x v="1"/>
    <x v="0"/>
    <x v="1"/>
    <n v="1"/>
    <x v="40"/>
    <x v="2"/>
    <s v="Hyderabad"/>
  </r>
  <r>
    <n v="72938283"/>
    <s v="Devansh Mani"/>
    <x v="8"/>
    <x v="134"/>
    <n v="8416"/>
    <x v="1"/>
    <x v="1"/>
    <x v="8"/>
    <x v="2"/>
    <x v="2"/>
    <n v="0"/>
    <x v="53"/>
    <x v="0"/>
    <s v="Kochi"/>
  </r>
  <r>
    <n v="92838292"/>
    <s v="Indranil Kara"/>
    <x v="4"/>
    <x v="135"/>
    <n v="5973"/>
    <x v="3"/>
    <x v="0"/>
    <x v="6"/>
    <x v="3"/>
    <x v="3"/>
    <n v="0"/>
    <x v="75"/>
    <x v="2"/>
    <s v="Lucknow"/>
  </r>
  <r>
    <n v="49919079"/>
    <s v="Jhanvi Solanki"/>
    <x v="1"/>
    <x v="136"/>
    <n v="10815"/>
    <x v="0"/>
    <x v="0"/>
    <x v="9"/>
    <x v="0"/>
    <x v="3"/>
    <n v="0"/>
    <x v="53"/>
    <x v="5"/>
    <s v="Delhi"/>
  </r>
  <r>
    <n v="51546530"/>
    <s v="Charvi Kaur"/>
    <x v="1"/>
    <x v="137"/>
    <n v="15064"/>
    <x v="3"/>
    <x v="3"/>
    <x v="6"/>
    <x v="1"/>
    <x v="6"/>
    <n v="1"/>
    <x v="27"/>
    <x v="0"/>
    <s v="Kolkata"/>
  </r>
  <r>
    <n v="29629444"/>
    <s v="Anya Shere"/>
    <x v="5"/>
    <x v="138"/>
    <n v="801"/>
    <x v="1"/>
    <x v="0"/>
    <x v="1"/>
    <x v="1"/>
    <x v="4"/>
    <n v="1"/>
    <x v="19"/>
    <x v="5"/>
    <s v="Ahmedabad"/>
  </r>
  <r>
    <n v="79096625"/>
    <s v="Ahana  Shroff"/>
    <x v="2"/>
    <x v="43"/>
    <n v="17208"/>
    <x v="1"/>
    <x v="0"/>
    <x v="7"/>
    <x v="0"/>
    <x v="3"/>
    <n v="0"/>
    <x v="50"/>
    <x v="1"/>
    <s v="Lucknow"/>
  </r>
  <r>
    <n v="36102806"/>
    <s v="Nehmat Mall"/>
    <x v="7"/>
    <x v="139"/>
    <n v="20075"/>
    <x v="1"/>
    <x v="0"/>
    <x v="1"/>
    <x v="3"/>
    <x v="8"/>
    <n v="0"/>
    <x v="76"/>
    <x v="3"/>
    <s v="Kolkata"/>
  </r>
  <r>
    <n v="54066013"/>
    <s v="Inaaya  Sampath"/>
    <x v="1"/>
    <x v="43"/>
    <n v="6438"/>
    <x v="1"/>
    <x v="2"/>
    <x v="1"/>
    <x v="0"/>
    <x v="1"/>
    <n v="0"/>
    <x v="77"/>
    <x v="3"/>
    <s v="Jaipur"/>
  </r>
  <r>
    <n v="57860400"/>
    <s v="Riya Dash"/>
    <x v="0"/>
    <x v="140"/>
    <n v="5031"/>
    <x v="0"/>
    <x v="0"/>
    <x v="9"/>
    <x v="0"/>
    <x v="2"/>
    <n v="1"/>
    <x v="1"/>
    <x v="3"/>
    <s v="Jaipur"/>
  </r>
  <r>
    <n v="70040790"/>
    <s v="Tiya Viswanathan"/>
    <x v="2"/>
    <x v="141"/>
    <n v="252"/>
    <x v="0"/>
    <x v="0"/>
    <x v="8"/>
    <x v="3"/>
    <x v="1"/>
    <n v="1"/>
    <x v="45"/>
    <x v="2"/>
    <s v="Bangalore"/>
  </r>
  <r>
    <n v="21982567"/>
    <s v="Nehmat Kar"/>
    <x v="3"/>
    <x v="122"/>
    <n v="14702"/>
    <x v="1"/>
    <x v="2"/>
    <x v="0"/>
    <x v="3"/>
    <x v="7"/>
    <n v="0"/>
    <x v="18"/>
    <x v="5"/>
    <s v="Jaipur"/>
  </r>
  <r>
    <n v="13291091"/>
    <s v="Dhanush Borde"/>
    <x v="9"/>
    <x v="102"/>
    <n v="8567"/>
    <x v="1"/>
    <x v="4"/>
    <x v="7"/>
    <x v="3"/>
    <x v="5"/>
    <n v="0"/>
    <x v="78"/>
    <x v="0"/>
    <s v="Kochi"/>
  </r>
  <r>
    <n v="92630416"/>
    <s v="Inaaya  Kant"/>
    <x v="3"/>
    <x v="142"/>
    <n v="18546"/>
    <x v="1"/>
    <x v="0"/>
    <x v="6"/>
    <x v="3"/>
    <x v="8"/>
    <n v="0"/>
    <x v="64"/>
    <x v="2"/>
    <s v="Ahmedabad"/>
  </r>
  <r>
    <n v="85429387"/>
    <s v="Nitya Bera"/>
    <x v="7"/>
    <x v="17"/>
    <n v="5015"/>
    <x v="3"/>
    <x v="0"/>
    <x v="3"/>
    <x v="2"/>
    <x v="2"/>
    <n v="1"/>
    <x v="40"/>
    <x v="3"/>
    <s v="Mumbai"/>
  </r>
  <r>
    <n v="20976963"/>
    <s v="Shamik Bose"/>
    <x v="9"/>
    <x v="143"/>
    <n v="13352"/>
    <x v="3"/>
    <x v="3"/>
    <x v="7"/>
    <x v="0"/>
    <x v="3"/>
    <n v="0"/>
    <x v="26"/>
    <x v="4"/>
    <s v="Lucknow"/>
  </r>
  <r>
    <n v="15961665"/>
    <s v="Aniruddh Reddy"/>
    <x v="0"/>
    <x v="122"/>
    <n v="14020"/>
    <x v="0"/>
    <x v="2"/>
    <x v="3"/>
    <x v="0"/>
    <x v="8"/>
    <n v="0"/>
    <x v="4"/>
    <x v="0"/>
    <s v="Ahmedabad"/>
  </r>
  <r>
    <n v="26896905"/>
    <s v="Nitara Chander"/>
    <x v="2"/>
    <x v="77"/>
    <n v="9453"/>
    <x v="3"/>
    <x v="2"/>
    <x v="6"/>
    <x v="2"/>
    <x v="7"/>
    <n v="0"/>
    <x v="65"/>
    <x v="5"/>
    <s v="Bangalore"/>
  </r>
  <r>
    <n v="28606571"/>
    <s v="Suhana Deo"/>
    <x v="1"/>
    <x v="144"/>
    <n v="8565"/>
    <x v="1"/>
    <x v="4"/>
    <x v="9"/>
    <x v="0"/>
    <x v="7"/>
    <n v="1"/>
    <x v="44"/>
    <x v="2"/>
    <s v="Chennai"/>
  </r>
  <r>
    <n v="29713091"/>
    <s v="Veer Kant"/>
    <x v="1"/>
    <x v="145"/>
    <n v="5009"/>
    <x v="0"/>
    <x v="3"/>
    <x v="9"/>
    <x v="2"/>
    <x v="6"/>
    <n v="0"/>
    <x v="61"/>
    <x v="0"/>
    <s v="Hyderabad"/>
  </r>
  <r>
    <n v="19645801"/>
    <s v="Manikya Karpe"/>
    <x v="7"/>
    <x v="146"/>
    <n v="6019"/>
    <x v="1"/>
    <x v="4"/>
    <x v="0"/>
    <x v="0"/>
    <x v="1"/>
    <n v="0"/>
    <x v="66"/>
    <x v="5"/>
    <s v="Jaipur"/>
  </r>
  <r>
    <n v="70121811"/>
    <s v="Heer Bahl"/>
    <x v="2"/>
    <x v="147"/>
    <n v="20359"/>
    <x v="1"/>
    <x v="1"/>
    <x v="5"/>
    <x v="2"/>
    <x v="4"/>
    <n v="0"/>
    <x v="40"/>
    <x v="5"/>
    <s v="Jaipur"/>
  </r>
  <r>
    <n v="95186326"/>
    <s v="Hazel Bawa"/>
    <x v="1"/>
    <x v="114"/>
    <n v="17599"/>
    <x v="2"/>
    <x v="3"/>
    <x v="1"/>
    <x v="2"/>
    <x v="1"/>
    <n v="1"/>
    <x v="3"/>
    <x v="3"/>
    <s v="Jaipur"/>
  </r>
  <r>
    <n v="26524451"/>
    <s v="Lakshay Chandra"/>
    <x v="6"/>
    <x v="96"/>
    <n v="3946"/>
    <x v="0"/>
    <x v="0"/>
    <x v="1"/>
    <x v="0"/>
    <x v="7"/>
    <n v="0"/>
    <x v="24"/>
    <x v="2"/>
    <s v="Kochi"/>
  </r>
  <r>
    <n v="93307574"/>
    <s v="Riaan Uppal"/>
    <x v="7"/>
    <x v="148"/>
    <n v="14755"/>
    <x v="0"/>
    <x v="3"/>
    <x v="5"/>
    <x v="3"/>
    <x v="0"/>
    <n v="1"/>
    <x v="58"/>
    <x v="5"/>
    <s v="Lucknow"/>
  </r>
  <r>
    <n v="76777000"/>
    <s v="Saksham Swaminathan"/>
    <x v="1"/>
    <x v="149"/>
    <n v="1711"/>
    <x v="1"/>
    <x v="3"/>
    <x v="3"/>
    <x v="1"/>
    <x v="7"/>
    <n v="0"/>
    <x v="12"/>
    <x v="0"/>
    <s v="Jaipur"/>
  </r>
  <r>
    <n v="48826652"/>
    <s v="Riaan Kumer"/>
    <x v="6"/>
    <x v="120"/>
    <n v="7291"/>
    <x v="1"/>
    <x v="0"/>
    <x v="7"/>
    <x v="2"/>
    <x v="2"/>
    <n v="0"/>
    <x v="78"/>
    <x v="1"/>
    <s v="Lucknow"/>
  </r>
  <r>
    <n v="53119289"/>
    <s v="Faiyaz Andra"/>
    <x v="0"/>
    <x v="150"/>
    <n v="21076"/>
    <x v="0"/>
    <x v="1"/>
    <x v="1"/>
    <x v="3"/>
    <x v="5"/>
    <n v="1"/>
    <x v="4"/>
    <x v="1"/>
    <s v="Kochi"/>
  </r>
  <r>
    <n v="11754175"/>
    <s v="Rasha Buch"/>
    <x v="7"/>
    <x v="77"/>
    <n v="3605"/>
    <x v="1"/>
    <x v="2"/>
    <x v="2"/>
    <x v="0"/>
    <x v="4"/>
    <n v="0"/>
    <x v="75"/>
    <x v="2"/>
    <s v="Bangalore"/>
  </r>
  <r>
    <n v="56313270"/>
    <s v="Zaina Kant"/>
    <x v="9"/>
    <x v="151"/>
    <n v="9461"/>
    <x v="3"/>
    <x v="2"/>
    <x v="1"/>
    <x v="3"/>
    <x v="2"/>
    <n v="0"/>
    <x v="62"/>
    <x v="3"/>
    <s v="Kochi"/>
  </r>
  <r>
    <n v="77697734"/>
    <s v="Faiyaz Hans"/>
    <x v="0"/>
    <x v="46"/>
    <n v="4329"/>
    <x v="3"/>
    <x v="3"/>
    <x v="3"/>
    <x v="0"/>
    <x v="6"/>
    <n v="0"/>
    <x v="19"/>
    <x v="2"/>
    <s v="Kolkata"/>
  </r>
  <r>
    <n v="20959297"/>
    <s v="Hansh Vohra"/>
    <x v="0"/>
    <x v="46"/>
    <n v="18054"/>
    <x v="0"/>
    <x v="0"/>
    <x v="5"/>
    <x v="2"/>
    <x v="2"/>
    <n v="1"/>
    <x v="27"/>
    <x v="3"/>
    <s v="Jaipur"/>
  </r>
  <r>
    <n v="15774284"/>
    <s v="Samiha Balan"/>
    <x v="7"/>
    <x v="152"/>
    <n v="4005"/>
    <x v="0"/>
    <x v="1"/>
    <x v="9"/>
    <x v="1"/>
    <x v="4"/>
    <n v="0"/>
    <x v="16"/>
    <x v="1"/>
    <s v="Ahmedabad"/>
  </r>
  <r>
    <n v="49808870"/>
    <s v="Prerak Borra"/>
    <x v="2"/>
    <x v="153"/>
    <n v="11792"/>
    <x v="0"/>
    <x v="1"/>
    <x v="3"/>
    <x v="2"/>
    <x v="1"/>
    <n v="0"/>
    <x v="17"/>
    <x v="1"/>
    <s v="Kochi"/>
  </r>
  <r>
    <n v="30436209"/>
    <s v="Yuvraj  Kant"/>
    <x v="4"/>
    <x v="154"/>
    <n v="13557"/>
    <x v="1"/>
    <x v="3"/>
    <x v="6"/>
    <x v="3"/>
    <x v="3"/>
    <n v="0"/>
    <x v="74"/>
    <x v="0"/>
    <s v="Lucknow"/>
  </r>
  <r>
    <n v="50300676"/>
    <s v="Reyansh Batra"/>
    <x v="7"/>
    <x v="14"/>
    <n v="6566"/>
    <x v="1"/>
    <x v="3"/>
    <x v="0"/>
    <x v="1"/>
    <x v="6"/>
    <n v="1"/>
    <x v="79"/>
    <x v="2"/>
    <s v="Kolkata"/>
  </r>
  <r>
    <n v="62323465"/>
    <s v="Piya Lad"/>
    <x v="9"/>
    <x v="150"/>
    <n v="18405"/>
    <x v="1"/>
    <x v="4"/>
    <x v="0"/>
    <x v="3"/>
    <x v="6"/>
    <n v="0"/>
    <x v="70"/>
    <x v="3"/>
    <s v="Hyderabad"/>
  </r>
  <r>
    <n v="21344753"/>
    <s v="Parinaaz Deol"/>
    <x v="8"/>
    <x v="155"/>
    <n v="12460"/>
    <x v="1"/>
    <x v="1"/>
    <x v="5"/>
    <x v="3"/>
    <x v="0"/>
    <n v="1"/>
    <x v="70"/>
    <x v="5"/>
    <s v="Delhi"/>
  </r>
  <r>
    <n v="49929650"/>
    <s v="Aarna Bumb"/>
    <x v="6"/>
    <x v="156"/>
    <n v="5611"/>
    <x v="3"/>
    <x v="4"/>
    <x v="7"/>
    <x v="1"/>
    <x v="1"/>
    <n v="0"/>
    <x v="8"/>
    <x v="5"/>
    <s v="Ahmedabad"/>
  </r>
  <r>
    <n v="45229302"/>
    <s v="Amira Bhat"/>
    <x v="5"/>
    <x v="9"/>
    <n v="17881"/>
    <x v="3"/>
    <x v="0"/>
    <x v="5"/>
    <x v="0"/>
    <x v="8"/>
    <n v="0"/>
    <x v="11"/>
    <x v="4"/>
    <s v="Delhi"/>
  </r>
  <r>
    <n v="85944795"/>
    <s v="Alia Baral"/>
    <x v="0"/>
    <x v="157"/>
    <n v="11238"/>
    <x v="1"/>
    <x v="2"/>
    <x v="9"/>
    <x v="2"/>
    <x v="0"/>
    <n v="0"/>
    <x v="38"/>
    <x v="3"/>
    <s v="Bangalore"/>
  </r>
  <r>
    <n v="71917708"/>
    <s v="Armaan Amble"/>
    <x v="8"/>
    <x v="57"/>
    <n v="12007"/>
    <x v="3"/>
    <x v="0"/>
    <x v="2"/>
    <x v="0"/>
    <x v="5"/>
    <n v="1"/>
    <x v="68"/>
    <x v="1"/>
    <s v="Mumbai"/>
  </r>
  <r>
    <n v="13304438"/>
    <s v="Nehmat Lad"/>
    <x v="4"/>
    <x v="158"/>
    <n v="9883"/>
    <x v="3"/>
    <x v="2"/>
    <x v="6"/>
    <x v="2"/>
    <x v="8"/>
    <n v="0"/>
    <x v="14"/>
    <x v="2"/>
    <s v="Bangalore"/>
  </r>
  <r>
    <n v="30285704"/>
    <s v="Alia Dey"/>
    <x v="6"/>
    <x v="159"/>
    <n v="8474"/>
    <x v="1"/>
    <x v="4"/>
    <x v="4"/>
    <x v="1"/>
    <x v="1"/>
    <n v="0"/>
    <x v="1"/>
    <x v="5"/>
    <s v="Kolkata"/>
  </r>
  <r>
    <n v="42380998"/>
    <s v="Himmat Cherian"/>
    <x v="1"/>
    <x v="160"/>
    <n v="11058"/>
    <x v="1"/>
    <x v="0"/>
    <x v="4"/>
    <x v="1"/>
    <x v="0"/>
    <n v="0"/>
    <x v="41"/>
    <x v="1"/>
    <s v="Chennai"/>
  </r>
  <r>
    <n v="85856573"/>
    <s v="Chirag Chander"/>
    <x v="7"/>
    <x v="161"/>
    <n v="8224"/>
    <x v="1"/>
    <x v="4"/>
    <x v="7"/>
    <x v="2"/>
    <x v="3"/>
    <n v="0"/>
    <x v="28"/>
    <x v="0"/>
    <s v="Kolkata"/>
  </r>
  <r>
    <n v="89021354"/>
    <s v="Divit Saini"/>
    <x v="0"/>
    <x v="162"/>
    <n v="1593"/>
    <x v="2"/>
    <x v="1"/>
    <x v="4"/>
    <x v="3"/>
    <x v="0"/>
    <n v="1"/>
    <x v="3"/>
    <x v="3"/>
    <s v="Ahmedabad"/>
  </r>
  <r>
    <n v="19920333"/>
    <s v="Vedika Korpal"/>
    <x v="8"/>
    <x v="163"/>
    <n v="7153"/>
    <x v="2"/>
    <x v="4"/>
    <x v="7"/>
    <x v="3"/>
    <x v="8"/>
    <n v="0"/>
    <x v="17"/>
    <x v="5"/>
    <s v="Mumbai"/>
  </r>
  <r>
    <n v="92306692"/>
    <s v="Vidur Balan"/>
    <x v="2"/>
    <x v="164"/>
    <n v="7002"/>
    <x v="0"/>
    <x v="2"/>
    <x v="1"/>
    <x v="0"/>
    <x v="6"/>
    <n v="0"/>
    <x v="48"/>
    <x v="2"/>
    <s v="Bangalore"/>
  </r>
  <r>
    <n v="16695479"/>
    <s v="Mamooty Ranganathan"/>
    <x v="7"/>
    <x v="9"/>
    <n v="14361"/>
    <x v="1"/>
    <x v="0"/>
    <x v="7"/>
    <x v="2"/>
    <x v="3"/>
    <n v="0"/>
    <x v="61"/>
    <x v="2"/>
    <s v="Kolkata"/>
  </r>
  <r>
    <n v="60735981"/>
    <s v="Manjari Agate"/>
    <x v="4"/>
    <x v="94"/>
    <n v="21337"/>
    <x v="0"/>
    <x v="1"/>
    <x v="3"/>
    <x v="3"/>
    <x v="0"/>
    <n v="0"/>
    <x v="28"/>
    <x v="0"/>
    <s v="Hyderabad"/>
  </r>
  <r>
    <n v="41889517"/>
    <s v="Akarsh Gaba"/>
    <x v="4"/>
    <x v="165"/>
    <n v="2074"/>
    <x v="2"/>
    <x v="3"/>
    <x v="1"/>
    <x v="2"/>
    <x v="7"/>
    <n v="0"/>
    <x v="71"/>
    <x v="2"/>
    <s v="Kochi"/>
  </r>
  <r>
    <n v="93878137"/>
    <s v="Seher Shah"/>
    <x v="5"/>
    <x v="163"/>
    <n v="9854"/>
    <x v="1"/>
    <x v="0"/>
    <x v="0"/>
    <x v="0"/>
    <x v="8"/>
    <n v="0"/>
    <x v="80"/>
    <x v="3"/>
    <s v="Kolkata"/>
  </r>
  <r>
    <n v="23633392"/>
    <s v="Miraya Dash"/>
    <x v="9"/>
    <x v="166"/>
    <n v="19087"/>
    <x v="1"/>
    <x v="0"/>
    <x v="1"/>
    <x v="1"/>
    <x v="2"/>
    <n v="1"/>
    <x v="18"/>
    <x v="2"/>
    <s v="Kochi"/>
  </r>
  <r>
    <n v="93858354"/>
    <s v="Lagan Sabharwal"/>
    <x v="8"/>
    <x v="151"/>
    <n v="21326"/>
    <x v="0"/>
    <x v="0"/>
    <x v="0"/>
    <x v="3"/>
    <x v="2"/>
    <n v="1"/>
    <x v="13"/>
    <x v="5"/>
    <s v="Delhi"/>
  </r>
  <r>
    <n v="50133315"/>
    <s v="Darshit Ratti"/>
    <x v="4"/>
    <x v="167"/>
    <n v="24449"/>
    <x v="1"/>
    <x v="3"/>
    <x v="9"/>
    <x v="2"/>
    <x v="3"/>
    <n v="0"/>
    <x v="81"/>
    <x v="0"/>
    <s v="Jaipur"/>
  </r>
  <r>
    <n v="99881019"/>
    <s v="Baiju Sengupta"/>
    <x v="9"/>
    <x v="13"/>
    <n v="8163"/>
    <x v="1"/>
    <x v="0"/>
    <x v="6"/>
    <x v="3"/>
    <x v="1"/>
    <n v="0"/>
    <x v="24"/>
    <x v="1"/>
    <s v="Chennai"/>
  </r>
  <r>
    <n v="42583702"/>
    <s v="Saksham Soni"/>
    <x v="5"/>
    <x v="168"/>
    <n v="5001"/>
    <x v="1"/>
    <x v="1"/>
    <x v="1"/>
    <x v="0"/>
    <x v="8"/>
    <n v="0"/>
    <x v="20"/>
    <x v="2"/>
    <s v="Jaipur"/>
  </r>
  <r>
    <n v="80744133"/>
    <s v="Dharmajan Apte"/>
    <x v="9"/>
    <x v="169"/>
    <n v="22963"/>
    <x v="1"/>
    <x v="2"/>
    <x v="9"/>
    <x v="3"/>
    <x v="8"/>
    <n v="0"/>
    <x v="77"/>
    <x v="2"/>
    <s v="Ahmedabad"/>
  </r>
  <r>
    <n v="25683765"/>
    <s v="Akarsh Walia"/>
    <x v="0"/>
    <x v="17"/>
    <n v="6874"/>
    <x v="3"/>
    <x v="3"/>
    <x v="8"/>
    <x v="0"/>
    <x v="0"/>
    <n v="0"/>
    <x v="82"/>
    <x v="4"/>
    <s v="Kolkata"/>
  </r>
  <r>
    <n v="24972916"/>
    <s v="Seher Batta"/>
    <x v="4"/>
    <x v="170"/>
    <n v="15571"/>
    <x v="1"/>
    <x v="4"/>
    <x v="6"/>
    <x v="1"/>
    <x v="1"/>
    <n v="0"/>
    <x v="71"/>
    <x v="2"/>
    <s v="Lucknow"/>
  </r>
  <r>
    <n v="37530528"/>
    <s v="Hridaan Contractor"/>
    <x v="5"/>
    <x v="171"/>
    <n v="6473"/>
    <x v="2"/>
    <x v="3"/>
    <x v="9"/>
    <x v="2"/>
    <x v="5"/>
    <n v="0"/>
    <x v="59"/>
    <x v="4"/>
    <s v="Bangalore"/>
  </r>
  <r>
    <n v="90527786"/>
    <s v="Saira Bose"/>
    <x v="6"/>
    <x v="172"/>
    <n v="5840"/>
    <x v="1"/>
    <x v="1"/>
    <x v="9"/>
    <x v="3"/>
    <x v="8"/>
    <n v="0"/>
    <x v="75"/>
    <x v="5"/>
    <s v="Ahmedabad"/>
  </r>
  <r>
    <n v="28967339"/>
    <s v="Tanya Sarna"/>
    <x v="7"/>
    <x v="173"/>
    <n v="3202"/>
    <x v="3"/>
    <x v="3"/>
    <x v="4"/>
    <x v="1"/>
    <x v="7"/>
    <n v="1"/>
    <x v="53"/>
    <x v="1"/>
    <s v="Bangalore"/>
  </r>
  <r>
    <n v="18105851"/>
    <s v="Nakul Rana"/>
    <x v="9"/>
    <x v="174"/>
    <n v="12974"/>
    <x v="1"/>
    <x v="1"/>
    <x v="6"/>
    <x v="0"/>
    <x v="1"/>
    <n v="0"/>
    <x v="68"/>
    <x v="0"/>
    <s v="Bangalore"/>
  </r>
  <r>
    <n v="43702153"/>
    <s v="Hazel Dey"/>
    <x v="7"/>
    <x v="133"/>
    <n v="22838"/>
    <x v="1"/>
    <x v="0"/>
    <x v="5"/>
    <x v="1"/>
    <x v="7"/>
    <n v="0"/>
    <x v="0"/>
    <x v="5"/>
    <s v="Kolkata"/>
  </r>
  <r>
    <n v="75904529"/>
    <s v="Advik Balay"/>
    <x v="4"/>
    <x v="175"/>
    <n v="4626"/>
    <x v="1"/>
    <x v="0"/>
    <x v="4"/>
    <x v="3"/>
    <x v="6"/>
    <n v="0"/>
    <x v="44"/>
    <x v="4"/>
    <s v="Ahmedabad"/>
  </r>
  <r>
    <n v="69016171"/>
    <s v="Ojas Srinivasan"/>
    <x v="2"/>
    <x v="173"/>
    <n v="24909"/>
    <x v="1"/>
    <x v="1"/>
    <x v="5"/>
    <x v="1"/>
    <x v="7"/>
    <n v="0"/>
    <x v="58"/>
    <x v="0"/>
    <s v="Kochi"/>
  </r>
  <r>
    <n v="96058186"/>
    <s v="Drishya Lata"/>
    <x v="1"/>
    <x v="37"/>
    <n v="6890"/>
    <x v="3"/>
    <x v="4"/>
    <x v="3"/>
    <x v="0"/>
    <x v="6"/>
    <n v="1"/>
    <x v="38"/>
    <x v="2"/>
    <s v="Kolkata"/>
  </r>
  <r>
    <n v="13034228"/>
    <s v="Ojas Arora"/>
    <x v="0"/>
    <x v="176"/>
    <n v="19871"/>
    <x v="1"/>
    <x v="0"/>
    <x v="5"/>
    <x v="2"/>
    <x v="2"/>
    <n v="1"/>
    <x v="67"/>
    <x v="5"/>
    <s v="Chennai"/>
  </r>
  <r>
    <n v="55328276"/>
    <s v="Hunar Krishna"/>
    <x v="3"/>
    <x v="177"/>
    <n v="20391"/>
    <x v="2"/>
    <x v="2"/>
    <x v="6"/>
    <x v="1"/>
    <x v="1"/>
    <n v="0"/>
    <x v="6"/>
    <x v="3"/>
    <s v="Lucknow"/>
  </r>
  <r>
    <n v="88656447"/>
    <s v="Kismat Aurora"/>
    <x v="8"/>
    <x v="115"/>
    <n v="20815"/>
    <x v="0"/>
    <x v="3"/>
    <x v="8"/>
    <x v="1"/>
    <x v="1"/>
    <n v="0"/>
    <x v="33"/>
    <x v="5"/>
    <s v="Hyderabad"/>
  </r>
  <r>
    <n v="99785209"/>
    <s v="Vritika Sharma"/>
    <x v="3"/>
    <x v="178"/>
    <n v="4759"/>
    <x v="2"/>
    <x v="0"/>
    <x v="1"/>
    <x v="3"/>
    <x v="3"/>
    <n v="0"/>
    <x v="38"/>
    <x v="4"/>
    <s v="Delhi"/>
  </r>
  <r>
    <n v="38065614"/>
    <s v="Mohanlal Chaudhuri"/>
    <x v="8"/>
    <x v="179"/>
    <n v="4024"/>
    <x v="0"/>
    <x v="3"/>
    <x v="8"/>
    <x v="1"/>
    <x v="3"/>
    <n v="0"/>
    <x v="44"/>
    <x v="2"/>
    <s v="Delhi"/>
  </r>
  <r>
    <n v="62517762"/>
    <s v="Mamooty Kant"/>
    <x v="6"/>
    <x v="180"/>
    <n v="12321"/>
    <x v="0"/>
    <x v="2"/>
    <x v="3"/>
    <x v="3"/>
    <x v="1"/>
    <n v="0"/>
    <x v="5"/>
    <x v="2"/>
    <s v="Bangalore"/>
  </r>
  <r>
    <n v="34035436"/>
    <s v="Sahil Deshmukh"/>
    <x v="8"/>
    <x v="96"/>
    <n v="4619"/>
    <x v="3"/>
    <x v="4"/>
    <x v="0"/>
    <x v="3"/>
    <x v="0"/>
    <n v="0"/>
    <x v="2"/>
    <x v="1"/>
    <s v="Mumbai"/>
  </r>
  <r>
    <n v="97416206"/>
    <s v="Elakshi Dugar"/>
    <x v="5"/>
    <x v="132"/>
    <n v="7060"/>
    <x v="0"/>
    <x v="4"/>
    <x v="2"/>
    <x v="1"/>
    <x v="0"/>
    <n v="0"/>
    <x v="29"/>
    <x v="2"/>
    <s v="Jaipur"/>
  </r>
  <r>
    <n v="18982234"/>
    <s v="Suhana Barman"/>
    <x v="7"/>
    <x v="146"/>
    <n v="11009"/>
    <x v="1"/>
    <x v="2"/>
    <x v="0"/>
    <x v="3"/>
    <x v="7"/>
    <n v="0"/>
    <x v="14"/>
    <x v="3"/>
    <s v="Chennai"/>
  </r>
  <r>
    <n v="75876902"/>
    <s v="Alia Kari"/>
    <x v="0"/>
    <x v="45"/>
    <n v="13717"/>
    <x v="0"/>
    <x v="0"/>
    <x v="0"/>
    <x v="2"/>
    <x v="8"/>
    <n v="1"/>
    <x v="38"/>
    <x v="3"/>
    <s v="Hyderabad"/>
  </r>
  <r>
    <n v="84378270"/>
    <s v="Tanya Chatterjee"/>
    <x v="2"/>
    <x v="62"/>
    <n v="9479"/>
    <x v="1"/>
    <x v="4"/>
    <x v="1"/>
    <x v="3"/>
    <x v="2"/>
    <n v="1"/>
    <x v="61"/>
    <x v="5"/>
    <s v="Lucknow"/>
  </r>
  <r>
    <n v="11103414"/>
    <s v="Anya Cheema"/>
    <x v="0"/>
    <x v="33"/>
    <n v="867"/>
    <x v="1"/>
    <x v="1"/>
    <x v="9"/>
    <x v="1"/>
    <x v="8"/>
    <n v="0"/>
    <x v="44"/>
    <x v="1"/>
    <s v="Lucknow"/>
  </r>
  <r>
    <n v="20917683"/>
    <s v="Dhruv Guha"/>
    <x v="8"/>
    <x v="181"/>
    <n v="21511"/>
    <x v="1"/>
    <x v="4"/>
    <x v="9"/>
    <x v="1"/>
    <x v="0"/>
    <n v="0"/>
    <x v="10"/>
    <x v="2"/>
    <s v="Kolkata"/>
  </r>
  <r>
    <n v="22770356"/>
    <s v="Tarini Chhabra"/>
    <x v="7"/>
    <x v="182"/>
    <n v="16910"/>
    <x v="0"/>
    <x v="0"/>
    <x v="9"/>
    <x v="3"/>
    <x v="3"/>
    <n v="1"/>
    <x v="14"/>
    <x v="4"/>
    <s v="Mumbai"/>
  </r>
  <r>
    <n v="82767917"/>
    <s v="Miraya Goda"/>
    <x v="1"/>
    <x v="1"/>
    <n v="10045"/>
    <x v="0"/>
    <x v="2"/>
    <x v="9"/>
    <x v="3"/>
    <x v="2"/>
    <n v="0"/>
    <x v="44"/>
    <x v="3"/>
    <s v="Ahmedabad"/>
  </r>
  <r>
    <n v="47451037"/>
    <s v="Hrishita Chakraborty"/>
    <x v="9"/>
    <x v="183"/>
    <n v="20937"/>
    <x v="0"/>
    <x v="1"/>
    <x v="7"/>
    <x v="0"/>
    <x v="4"/>
    <n v="0"/>
    <x v="20"/>
    <x v="1"/>
    <s v="Lucknow"/>
  </r>
  <r>
    <n v="26950485"/>
    <s v="Elakshi Swamy"/>
    <x v="7"/>
    <x v="184"/>
    <n v="23615"/>
    <x v="3"/>
    <x v="4"/>
    <x v="7"/>
    <x v="2"/>
    <x v="3"/>
    <n v="0"/>
    <x v="35"/>
    <x v="4"/>
    <s v="Kolkata"/>
  </r>
  <r>
    <n v="22585061"/>
    <s v="Sara Master"/>
    <x v="3"/>
    <x v="17"/>
    <n v="20134"/>
    <x v="0"/>
    <x v="0"/>
    <x v="9"/>
    <x v="2"/>
    <x v="4"/>
    <n v="0"/>
    <x v="33"/>
    <x v="0"/>
    <s v="Delhi"/>
  </r>
  <r>
    <n v="74089321"/>
    <s v="Sana Bains"/>
    <x v="8"/>
    <x v="185"/>
    <n v="8391"/>
    <x v="1"/>
    <x v="1"/>
    <x v="7"/>
    <x v="2"/>
    <x v="3"/>
    <n v="0"/>
    <x v="82"/>
    <x v="2"/>
    <s v="Mumbai"/>
  </r>
  <r>
    <n v="26400306"/>
    <s v="Ishaan Dugar"/>
    <x v="8"/>
    <x v="186"/>
    <n v="24466"/>
    <x v="1"/>
    <x v="0"/>
    <x v="5"/>
    <x v="0"/>
    <x v="4"/>
    <n v="1"/>
    <x v="70"/>
    <x v="3"/>
    <s v="Chennai"/>
  </r>
  <r>
    <n v="70441809"/>
    <s v="Samar Seth"/>
    <x v="4"/>
    <x v="100"/>
    <n v="4478"/>
    <x v="3"/>
    <x v="2"/>
    <x v="1"/>
    <x v="1"/>
    <x v="6"/>
    <n v="0"/>
    <x v="80"/>
    <x v="5"/>
    <s v="Hyderabad"/>
  </r>
  <r>
    <n v="90474062"/>
    <s v="Divij Rao"/>
    <x v="9"/>
    <x v="187"/>
    <n v="11512"/>
    <x v="0"/>
    <x v="4"/>
    <x v="1"/>
    <x v="0"/>
    <x v="3"/>
    <n v="1"/>
    <x v="66"/>
    <x v="1"/>
    <s v="Hyderabad"/>
  </r>
  <r>
    <n v="10036453"/>
    <s v="Saksham Ghose"/>
    <x v="8"/>
    <x v="82"/>
    <n v="13620"/>
    <x v="0"/>
    <x v="4"/>
    <x v="8"/>
    <x v="2"/>
    <x v="5"/>
    <n v="0"/>
    <x v="15"/>
    <x v="1"/>
    <s v="Kochi"/>
  </r>
  <r>
    <n v="90028796"/>
    <s v="Trisha Khanna"/>
    <x v="3"/>
    <x v="128"/>
    <n v="18763"/>
    <x v="0"/>
    <x v="0"/>
    <x v="0"/>
    <x v="1"/>
    <x v="0"/>
    <n v="0"/>
    <x v="80"/>
    <x v="3"/>
    <s v="Chennai"/>
  </r>
  <r>
    <n v="84110896"/>
    <s v="Eva Sharma"/>
    <x v="6"/>
    <x v="188"/>
    <n v="18831"/>
    <x v="2"/>
    <x v="3"/>
    <x v="2"/>
    <x v="2"/>
    <x v="8"/>
    <n v="0"/>
    <x v="3"/>
    <x v="0"/>
    <s v="Delhi"/>
  </r>
  <r>
    <n v="77878340"/>
    <s v="Saanvi Rajan"/>
    <x v="3"/>
    <x v="189"/>
    <n v="20431"/>
    <x v="0"/>
    <x v="1"/>
    <x v="2"/>
    <x v="2"/>
    <x v="0"/>
    <n v="1"/>
    <x v="64"/>
    <x v="3"/>
    <s v="Kochi"/>
  </r>
  <r>
    <n v="17767871"/>
    <s v="Farhan Chowdhury"/>
    <x v="3"/>
    <x v="190"/>
    <n v="7286"/>
    <x v="0"/>
    <x v="0"/>
    <x v="5"/>
    <x v="2"/>
    <x v="6"/>
    <n v="0"/>
    <x v="10"/>
    <x v="2"/>
    <s v="Mumbai"/>
  </r>
  <r>
    <n v="55084639"/>
    <s v="Armaan Chada"/>
    <x v="0"/>
    <x v="122"/>
    <n v="18201"/>
    <x v="1"/>
    <x v="3"/>
    <x v="8"/>
    <x v="1"/>
    <x v="3"/>
    <n v="0"/>
    <x v="2"/>
    <x v="5"/>
    <s v="Bangalore"/>
  </r>
  <r>
    <n v="43909427"/>
    <s v="Yasmin Chaudhary"/>
    <x v="3"/>
    <x v="43"/>
    <n v="12237"/>
    <x v="3"/>
    <x v="0"/>
    <x v="5"/>
    <x v="1"/>
    <x v="0"/>
    <n v="0"/>
    <x v="27"/>
    <x v="4"/>
    <s v="Bangalore"/>
  </r>
  <r>
    <n v="11903948"/>
    <s v="Divit Gola"/>
    <x v="2"/>
    <x v="78"/>
    <n v="13678"/>
    <x v="3"/>
    <x v="3"/>
    <x v="9"/>
    <x v="3"/>
    <x v="7"/>
    <n v="0"/>
    <x v="36"/>
    <x v="2"/>
    <s v="Jaipur"/>
  </r>
  <r>
    <n v="59019965"/>
    <s v="Ivan Kant"/>
    <x v="0"/>
    <x v="155"/>
    <n v="16720"/>
    <x v="3"/>
    <x v="3"/>
    <x v="3"/>
    <x v="1"/>
    <x v="3"/>
    <n v="0"/>
    <x v="53"/>
    <x v="4"/>
    <s v="Hyderabad"/>
  </r>
  <r>
    <n v="41835616"/>
    <s v="Vanya Bhasin"/>
    <x v="9"/>
    <x v="191"/>
    <n v="17014"/>
    <x v="1"/>
    <x v="0"/>
    <x v="0"/>
    <x v="1"/>
    <x v="2"/>
    <n v="0"/>
    <x v="53"/>
    <x v="0"/>
    <s v="Lucknow"/>
  </r>
  <r>
    <n v="27433729"/>
    <s v="Kiaan Jayaraman"/>
    <x v="2"/>
    <x v="192"/>
    <n v="24000"/>
    <x v="1"/>
    <x v="3"/>
    <x v="9"/>
    <x v="1"/>
    <x v="3"/>
    <n v="0"/>
    <x v="8"/>
    <x v="5"/>
    <s v="Jaipur"/>
  </r>
  <r>
    <n v="87906190"/>
    <s v="Hridaan Gala"/>
    <x v="1"/>
    <x v="126"/>
    <n v="15370"/>
    <x v="0"/>
    <x v="0"/>
    <x v="2"/>
    <x v="2"/>
    <x v="4"/>
    <n v="1"/>
    <x v="10"/>
    <x v="4"/>
    <s v="Bangalore"/>
  </r>
  <r>
    <n v="60239461"/>
    <s v="Inaaya  Vohra"/>
    <x v="5"/>
    <x v="172"/>
    <n v="12022"/>
    <x v="3"/>
    <x v="3"/>
    <x v="5"/>
    <x v="1"/>
    <x v="6"/>
    <n v="1"/>
    <x v="30"/>
    <x v="2"/>
    <s v="Jaipur"/>
  </r>
  <r>
    <n v="93873983"/>
    <s v="Adira Jha"/>
    <x v="7"/>
    <x v="53"/>
    <n v="24832"/>
    <x v="2"/>
    <x v="0"/>
    <x v="7"/>
    <x v="2"/>
    <x v="0"/>
    <n v="0"/>
    <x v="53"/>
    <x v="3"/>
    <s v="Kolkata"/>
  </r>
  <r>
    <n v="37506434"/>
    <s v="Nakul Deep"/>
    <x v="7"/>
    <x v="193"/>
    <n v="14758"/>
    <x v="3"/>
    <x v="4"/>
    <x v="1"/>
    <x v="1"/>
    <x v="1"/>
    <n v="0"/>
    <x v="20"/>
    <x v="0"/>
    <s v="Hyderabad"/>
  </r>
  <r>
    <n v="36595607"/>
    <s v="Yuvaan Bava"/>
    <x v="1"/>
    <x v="194"/>
    <n v="21612"/>
    <x v="3"/>
    <x v="2"/>
    <x v="2"/>
    <x v="0"/>
    <x v="2"/>
    <n v="0"/>
    <x v="65"/>
    <x v="5"/>
    <s v="Bangalore"/>
  </r>
  <r>
    <n v="94337967"/>
    <s v="Rati Dhillon"/>
    <x v="0"/>
    <x v="195"/>
    <n v="179"/>
    <x v="1"/>
    <x v="0"/>
    <x v="4"/>
    <x v="2"/>
    <x v="4"/>
    <n v="1"/>
    <x v="62"/>
    <x v="1"/>
    <s v="Bangalore"/>
  </r>
  <r>
    <n v="77985819"/>
    <s v="Aaryahi Lalla"/>
    <x v="4"/>
    <x v="93"/>
    <n v="16968"/>
    <x v="1"/>
    <x v="0"/>
    <x v="2"/>
    <x v="1"/>
    <x v="6"/>
    <n v="0"/>
    <x v="77"/>
    <x v="1"/>
    <s v="Mumbai"/>
  </r>
  <r>
    <n v="16720205"/>
    <s v="Jhanvi Goswami"/>
    <x v="4"/>
    <x v="97"/>
    <n v="1086"/>
    <x v="1"/>
    <x v="0"/>
    <x v="7"/>
    <x v="0"/>
    <x v="7"/>
    <n v="0"/>
    <x v="69"/>
    <x v="3"/>
    <s v="Kolkata"/>
  </r>
  <r>
    <n v="10278817"/>
    <s v="Ivan Chada"/>
    <x v="6"/>
    <x v="196"/>
    <n v="14950"/>
    <x v="1"/>
    <x v="1"/>
    <x v="9"/>
    <x v="0"/>
    <x v="8"/>
    <n v="1"/>
    <x v="22"/>
    <x v="1"/>
    <s v="Jaipur"/>
  </r>
  <r>
    <n v="21513009"/>
    <s v="Adah Sehgal"/>
    <x v="2"/>
    <x v="17"/>
    <n v="23277"/>
    <x v="2"/>
    <x v="1"/>
    <x v="3"/>
    <x v="0"/>
    <x v="0"/>
    <n v="0"/>
    <x v="51"/>
    <x v="2"/>
    <s v="Kochi"/>
  </r>
  <r>
    <n v="46620083"/>
    <s v="Kaira Karnik"/>
    <x v="9"/>
    <x v="143"/>
    <n v="14304"/>
    <x v="0"/>
    <x v="3"/>
    <x v="3"/>
    <x v="2"/>
    <x v="3"/>
    <n v="1"/>
    <x v="73"/>
    <x v="5"/>
    <s v="Mumbai"/>
  </r>
  <r>
    <n v="64197841"/>
    <s v="Kaira Ben"/>
    <x v="2"/>
    <x v="118"/>
    <n v="14451"/>
    <x v="3"/>
    <x v="2"/>
    <x v="1"/>
    <x v="0"/>
    <x v="1"/>
    <n v="0"/>
    <x v="28"/>
    <x v="0"/>
    <s v="Ahmedabad"/>
  </r>
  <r>
    <n v="65593686"/>
    <s v="Alia Bansal"/>
    <x v="7"/>
    <x v="197"/>
    <n v="16570"/>
    <x v="1"/>
    <x v="4"/>
    <x v="0"/>
    <x v="1"/>
    <x v="5"/>
    <n v="0"/>
    <x v="70"/>
    <x v="1"/>
    <s v="Bangalore"/>
  </r>
  <r>
    <n v="32746603"/>
    <s v="Ayesha Mann"/>
    <x v="8"/>
    <x v="18"/>
    <n v="18665"/>
    <x v="1"/>
    <x v="4"/>
    <x v="3"/>
    <x v="2"/>
    <x v="4"/>
    <n v="0"/>
    <x v="54"/>
    <x v="2"/>
    <s v="Kochi"/>
  </r>
  <r>
    <n v="40476578"/>
    <s v="Uthkarsh Sridhar"/>
    <x v="3"/>
    <x v="22"/>
    <n v="14889"/>
    <x v="3"/>
    <x v="3"/>
    <x v="2"/>
    <x v="0"/>
    <x v="5"/>
    <n v="0"/>
    <x v="75"/>
    <x v="0"/>
    <s v="Hyderabad"/>
  </r>
  <r>
    <n v="40246722"/>
    <s v="Mamooty Kale"/>
    <x v="0"/>
    <x v="198"/>
    <n v="7965"/>
    <x v="2"/>
    <x v="3"/>
    <x v="1"/>
    <x v="0"/>
    <x v="5"/>
    <n v="0"/>
    <x v="1"/>
    <x v="2"/>
    <s v="Chennai"/>
  </r>
  <r>
    <n v="86063662"/>
    <s v="Kabir Ratta"/>
    <x v="5"/>
    <x v="29"/>
    <n v="10556"/>
    <x v="3"/>
    <x v="2"/>
    <x v="3"/>
    <x v="1"/>
    <x v="4"/>
    <n v="0"/>
    <x v="79"/>
    <x v="3"/>
    <s v="Kolkata"/>
  </r>
  <r>
    <n v="51663167"/>
    <s v="Ira Chaudhry"/>
    <x v="3"/>
    <x v="199"/>
    <n v="4400"/>
    <x v="3"/>
    <x v="4"/>
    <x v="7"/>
    <x v="0"/>
    <x v="1"/>
    <n v="0"/>
    <x v="61"/>
    <x v="3"/>
    <s v="Jaipur"/>
  </r>
  <r>
    <n v="10941967"/>
    <s v="Rohan Bahl"/>
    <x v="8"/>
    <x v="81"/>
    <n v="24030"/>
    <x v="3"/>
    <x v="4"/>
    <x v="9"/>
    <x v="0"/>
    <x v="0"/>
    <n v="0"/>
    <x v="66"/>
    <x v="1"/>
    <s v="Jaipur"/>
  </r>
  <r>
    <n v="21703651"/>
    <s v="Arnav Kala"/>
    <x v="4"/>
    <x v="81"/>
    <n v="8118"/>
    <x v="3"/>
    <x v="4"/>
    <x v="1"/>
    <x v="3"/>
    <x v="3"/>
    <n v="1"/>
    <x v="83"/>
    <x v="1"/>
    <s v="Delhi"/>
  </r>
  <r>
    <n v="57373126"/>
    <s v="Vihaan Issac"/>
    <x v="0"/>
    <x v="200"/>
    <n v="17438"/>
    <x v="0"/>
    <x v="3"/>
    <x v="7"/>
    <x v="2"/>
    <x v="4"/>
    <n v="1"/>
    <x v="29"/>
    <x v="2"/>
    <s v="Lucknow"/>
  </r>
  <r>
    <n v="85049341"/>
    <s v="Ojas Dey"/>
    <x v="8"/>
    <x v="6"/>
    <n v="3375"/>
    <x v="0"/>
    <x v="0"/>
    <x v="7"/>
    <x v="1"/>
    <x v="3"/>
    <n v="1"/>
    <x v="48"/>
    <x v="4"/>
    <s v="Bangalore"/>
  </r>
  <r>
    <n v="83959989"/>
    <s v="Lakshit Chadha"/>
    <x v="4"/>
    <x v="132"/>
    <n v="6942"/>
    <x v="3"/>
    <x v="1"/>
    <x v="1"/>
    <x v="1"/>
    <x v="7"/>
    <n v="0"/>
    <x v="17"/>
    <x v="0"/>
    <s v="Delhi"/>
  </r>
  <r>
    <n v="26137438"/>
    <s v="Seher Bhasin"/>
    <x v="2"/>
    <x v="201"/>
    <n v="5819"/>
    <x v="0"/>
    <x v="0"/>
    <x v="4"/>
    <x v="2"/>
    <x v="3"/>
    <n v="0"/>
    <x v="15"/>
    <x v="1"/>
    <s v="Delhi"/>
  </r>
  <r>
    <n v="92663281"/>
    <s v="Arnav Kibe"/>
    <x v="9"/>
    <x v="202"/>
    <n v="22864"/>
    <x v="0"/>
    <x v="2"/>
    <x v="3"/>
    <x v="3"/>
    <x v="0"/>
    <n v="1"/>
    <x v="24"/>
    <x v="2"/>
    <s v="Lucknow"/>
  </r>
  <r>
    <n v="69633951"/>
    <s v="Aayush Grover"/>
    <x v="7"/>
    <x v="203"/>
    <n v="14577"/>
    <x v="1"/>
    <x v="0"/>
    <x v="6"/>
    <x v="3"/>
    <x v="1"/>
    <n v="0"/>
    <x v="48"/>
    <x v="3"/>
    <s v="Delhi"/>
  </r>
  <r>
    <n v="41035476"/>
    <s v="Indrans Kannan"/>
    <x v="5"/>
    <x v="183"/>
    <n v="21092"/>
    <x v="1"/>
    <x v="2"/>
    <x v="1"/>
    <x v="2"/>
    <x v="7"/>
    <n v="1"/>
    <x v="76"/>
    <x v="0"/>
    <s v="Jaipur"/>
  </r>
  <r>
    <n v="68711991"/>
    <s v="Nayantara Brahmbhatt"/>
    <x v="6"/>
    <x v="63"/>
    <n v="17800"/>
    <x v="3"/>
    <x v="3"/>
    <x v="7"/>
    <x v="1"/>
    <x v="3"/>
    <n v="0"/>
    <x v="35"/>
    <x v="5"/>
    <s v="Jaipur"/>
  </r>
  <r>
    <n v="16606687"/>
    <s v="Siya Comar"/>
    <x v="6"/>
    <x v="204"/>
    <n v="507"/>
    <x v="1"/>
    <x v="3"/>
    <x v="2"/>
    <x v="3"/>
    <x v="4"/>
    <n v="0"/>
    <x v="11"/>
    <x v="1"/>
    <s v="Delhi"/>
  </r>
  <r>
    <n v="85633127"/>
    <s v="Ishita Vasa"/>
    <x v="2"/>
    <x v="205"/>
    <n v="6300"/>
    <x v="1"/>
    <x v="1"/>
    <x v="4"/>
    <x v="2"/>
    <x v="4"/>
    <n v="1"/>
    <x v="41"/>
    <x v="3"/>
    <s v="Mumbai"/>
  </r>
  <r>
    <n v="58136746"/>
    <s v="Jivika Iyengar"/>
    <x v="9"/>
    <x v="206"/>
    <n v="13639"/>
    <x v="0"/>
    <x v="0"/>
    <x v="2"/>
    <x v="1"/>
    <x v="7"/>
    <n v="0"/>
    <x v="42"/>
    <x v="4"/>
    <s v="Mumbai"/>
  </r>
  <r>
    <n v="40997247"/>
    <s v="Arnav Jani"/>
    <x v="0"/>
    <x v="207"/>
    <n v="10350"/>
    <x v="1"/>
    <x v="4"/>
    <x v="0"/>
    <x v="3"/>
    <x v="0"/>
    <n v="0"/>
    <x v="45"/>
    <x v="3"/>
    <s v="Hyderabad"/>
  </r>
  <r>
    <n v="17996489"/>
    <s v="Shalv Swaminathan"/>
    <x v="7"/>
    <x v="188"/>
    <n v="7945"/>
    <x v="2"/>
    <x v="0"/>
    <x v="2"/>
    <x v="1"/>
    <x v="8"/>
    <n v="0"/>
    <x v="6"/>
    <x v="1"/>
    <s v="Chennai"/>
  </r>
  <r>
    <n v="82903255"/>
    <s v="Jayant Kari"/>
    <x v="7"/>
    <x v="208"/>
    <n v="12484"/>
    <x v="1"/>
    <x v="1"/>
    <x v="8"/>
    <x v="0"/>
    <x v="0"/>
    <n v="0"/>
    <x v="71"/>
    <x v="0"/>
    <s v="Jaipur"/>
  </r>
  <r>
    <n v="65231136"/>
    <s v="Miraya Handa"/>
    <x v="0"/>
    <x v="209"/>
    <n v="16544"/>
    <x v="1"/>
    <x v="0"/>
    <x v="3"/>
    <x v="3"/>
    <x v="1"/>
    <n v="0"/>
    <x v="68"/>
    <x v="1"/>
    <s v="Chennai"/>
  </r>
  <r>
    <n v="91022854"/>
    <s v="Anvi Golla"/>
    <x v="2"/>
    <x v="65"/>
    <n v="8226"/>
    <x v="0"/>
    <x v="2"/>
    <x v="9"/>
    <x v="0"/>
    <x v="7"/>
    <n v="1"/>
    <x v="82"/>
    <x v="2"/>
    <s v="Mumbai"/>
  </r>
  <r>
    <n v="38927003"/>
    <s v="Alisha Wable"/>
    <x v="5"/>
    <x v="166"/>
    <n v="18809"/>
    <x v="0"/>
    <x v="2"/>
    <x v="7"/>
    <x v="3"/>
    <x v="4"/>
    <n v="1"/>
    <x v="42"/>
    <x v="0"/>
    <s v="Jaipur"/>
  </r>
  <r>
    <n v="79105985"/>
    <s v="Drishya Balasubramanian"/>
    <x v="7"/>
    <x v="84"/>
    <n v="4498"/>
    <x v="1"/>
    <x v="0"/>
    <x v="9"/>
    <x v="1"/>
    <x v="2"/>
    <n v="1"/>
    <x v="39"/>
    <x v="4"/>
    <s v="Ahmedabad"/>
  </r>
  <r>
    <n v="73941325"/>
    <s v="Divij Saha"/>
    <x v="9"/>
    <x v="113"/>
    <n v="11530"/>
    <x v="0"/>
    <x v="4"/>
    <x v="0"/>
    <x v="0"/>
    <x v="7"/>
    <n v="0"/>
    <x v="66"/>
    <x v="5"/>
    <s v="Kochi"/>
  </r>
  <r>
    <n v="66081288"/>
    <s v="Saira Wagle"/>
    <x v="0"/>
    <x v="124"/>
    <n v="22394"/>
    <x v="1"/>
    <x v="4"/>
    <x v="1"/>
    <x v="1"/>
    <x v="4"/>
    <n v="0"/>
    <x v="12"/>
    <x v="2"/>
    <s v="Mumbai"/>
  </r>
  <r>
    <n v="64376157"/>
    <s v="Ryan Krishnan"/>
    <x v="4"/>
    <x v="210"/>
    <n v="6693"/>
    <x v="0"/>
    <x v="2"/>
    <x v="2"/>
    <x v="1"/>
    <x v="7"/>
    <n v="0"/>
    <x v="70"/>
    <x v="3"/>
    <s v="Bangalore"/>
  </r>
  <r>
    <n v="97464125"/>
    <s v="Zain Sabharwal"/>
    <x v="0"/>
    <x v="211"/>
    <n v="11922"/>
    <x v="1"/>
    <x v="1"/>
    <x v="4"/>
    <x v="0"/>
    <x v="7"/>
    <n v="0"/>
    <x v="20"/>
    <x v="3"/>
    <s v="Kolkata"/>
  </r>
  <r>
    <n v="11999667"/>
    <s v="Navya Gaba"/>
    <x v="8"/>
    <x v="0"/>
    <n v="20228"/>
    <x v="1"/>
    <x v="3"/>
    <x v="9"/>
    <x v="3"/>
    <x v="0"/>
    <n v="0"/>
    <x v="33"/>
    <x v="5"/>
    <s v="Kolkata"/>
  </r>
  <r>
    <n v="95803807"/>
    <s v="Darshit Bhavsar"/>
    <x v="7"/>
    <x v="96"/>
    <n v="875"/>
    <x v="3"/>
    <x v="0"/>
    <x v="2"/>
    <x v="2"/>
    <x v="6"/>
    <n v="0"/>
    <x v="18"/>
    <x v="3"/>
    <s v="Bangalore"/>
  </r>
  <r>
    <n v="39487873"/>
    <s v="Kartik De"/>
    <x v="1"/>
    <x v="212"/>
    <n v="8133"/>
    <x v="3"/>
    <x v="3"/>
    <x v="4"/>
    <x v="2"/>
    <x v="8"/>
    <n v="1"/>
    <x v="59"/>
    <x v="2"/>
    <s v="Mumbai"/>
  </r>
  <r>
    <n v="93075828"/>
    <s v="Vihaan Bhardwaj"/>
    <x v="6"/>
    <x v="138"/>
    <n v="11747"/>
    <x v="1"/>
    <x v="3"/>
    <x v="0"/>
    <x v="1"/>
    <x v="5"/>
    <n v="0"/>
    <x v="70"/>
    <x v="1"/>
    <s v="Chennai"/>
  </r>
  <r>
    <n v="78044303"/>
    <s v="Vanya Sachdev"/>
    <x v="5"/>
    <x v="213"/>
    <n v="13292"/>
    <x v="3"/>
    <x v="2"/>
    <x v="4"/>
    <x v="2"/>
    <x v="3"/>
    <n v="0"/>
    <x v="15"/>
    <x v="5"/>
    <s v="Kolkata"/>
  </r>
  <r>
    <n v="98552438"/>
    <s v="Sahil Bhavsar"/>
    <x v="2"/>
    <x v="214"/>
    <n v="6256"/>
    <x v="0"/>
    <x v="1"/>
    <x v="3"/>
    <x v="0"/>
    <x v="5"/>
    <n v="0"/>
    <x v="41"/>
    <x v="3"/>
    <s v="Chennai"/>
  </r>
  <r>
    <n v="49527071"/>
    <s v="Hazel Kamdar"/>
    <x v="9"/>
    <x v="210"/>
    <n v="6715"/>
    <x v="2"/>
    <x v="3"/>
    <x v="3"/>
    <x v="0"/>
    <x v="1"/>
    <n v="0"/>
    <x v="21"/>
    <x v="0"/>
    <s v="Lucknow"/>
  </r>
  <r>
    <n v="61336800"/>
    <s v="Keya Dixit"/>
    <x v="8"/>
    <x v="215"/>
    <n v="17543"/>
    <x v="3"/>
    <x v="3"/>
    <x v="8"/>
    <x v="1"/>
    <x v="3"/>
    <n v="0"/>
    <x v="84"/>
    <x v="3"/>
    <s v="Ahmedabad"/>
  </r>
  <r>
    <n v="22948163"/>
    <s v="Rohan Sharaf"/>
    <x v="3"/>
    <x v="154"/>
    <n v="6161"/>
    <x v="1"/>
    <x v="3"/>
    <x v="4"/>
    <x v="3"/>
    <x v="4"/>
    <n v="0"/>
    <x v="29"/>
    <x v="4"/>
    <s v="Mumbai"/>
  </r>
  <r>
    <n v="80049301"/>
    <s v="Anahita Kaul"/>
    <x v="1"/>
    <x v="27"/>
    <n v="16279"/>
    <x v="0"/>
    <x v="2"/>
    <x v="0"/>
    <x v="1"/>
    <x v="8"/>
    <n v="0"/>
    <x v="80"/>
    <x v="2"/>
    <s v="Hyderabad"/>
  </r>
  <r>
    <n v="93311283"/>
    <s v="Indrajit Aggarwal"/>
    <x v="7"/>
    <x v="216"/>
    <n v="18353"/>
    <x v="0"/>
    <x v="1"/>
    <x v="3"/>
    <x v="1"/>
    <x v="7"/>
    <n v="0"/>
    <x v="64"/>
    <x v="1"/>
    <s v="Ahmedabad"/>
  </r>
  <r>
    <n v="51864778"/>
    <s v="Pranay Dubey"/>
    <x v="8"/>
    <x v="81"/>
    <n v="22102"/>
    <x v="2"/>
    <x v="4"/>
    <x v="4"/>
    <x v="1"/>
    <x v="1"/>
    <n v="0"/>
    <x v="85"/>
    <x v="1"/>
    <s v="Mumbai"/>
  </r>
  <r>
    <n v="43455099"/>
    <s v="Taran Chandran"/>
    <x v="4"/>
    <x v="71"/>
    <n v="18097"/>
    <x v="1"/>
    <x v="0"/>
    <x v="7"/>
    <x v="2"/>
    <x v="6"/>
    <n v="0"/>
    <x v="28"/>
    <x v="3"/>
    <s v="Jaipur"/>
  </r>
  <r>
    <n v="26759480"/>
    <s v="Drishya Das"/>
    <x v="3"/>
    <x v="91"/>
    <n v="14225"/>
    <x v="0"/>
    <x v="4"/>
    <x v="1"/>
    <x v="1"/>
    <x v="6"/>
    <n v="0"/>
    <x v="78"/>
    <x v="5"/>
    <s v="Delhi"/>
  </r>
  <r>
    <n v="25081879"/>
    <s v="Misha Tripathi"/>
    <x v="8"/>
    <x v="41"/>
    <n v="1214"/>
    <x v="3"/>
    <x v="1"/>
    <x v="2"/>
    <x v="1"/>
    <x v="0"/>
    <n v="1"/>
    <x v="39"/>
    <x v="0"/>
    <s v="Mumbai"/>
  </r>
  <r>
    <n v="29294462"/>
    <s v="Veer Srinivasan"/>
    <x v="0"/>
    <x v="217"/>
    <n v="8546"/>
    <x v="3"/>
    <x v="1"/>
    <x v="6"/>
    <x v="0"/>
    <x v="2"/>
    <n v="1"/>
    <x v="14"/>
    <x v="0"/>
    <s v="Chennai"/>
  </r>
  <r>
    <n v="37503780"/>
    <s v="Tejas Thakur"/>
    <x v="2"/>
    <x v="196"/>
    <n v="22433"/>
    <x v="2"/>
    <x v="3"/>
    <x v="1"/>
    <x v="1"/>
    <x v="1"/>
    <n v="0"/>
    <x v="2"/>
    <x v="1"/>
    <s v="Jaipur"/>
  </r>
  <r>
    <n v="52779240"/>
    <s v="Ivana Kakar"/>
    <x v="6"/>
    <x v="8"/>
    <n v="21955"/>
    <x v="0"/>
    <x v="3"/>
    <x v="5"/>
    <x v="2"/>
    <x v="6"/>
    <n v="0"/>
    <x v="77"/>
    <x v="2"/>
    <s v="Jaipur"/>
  </r>
  <r>
    <n v="96305526"/>
    <s v="Dishani Savant"/>
    <x v="6"/>
    <x v="218"/>
    <n v="3693"/>
    <x v="0"/>
    <x v="1"/>
    <x v="2"/>
    <x v="2"/>
    <x v="8"/>
    <n v="1"/>
    <x v="17"/>
    <x v="3"/>
    <s v="Chennai"/>
  </r>
  <r>
    <n v="96303693"/>
    <s v="Anahi Bandi"/>
    <x v="1"/>
    <x v="136"/>
    <n v="13131"/>
    <x v="2"/>
    <x v="1"/>
    <x v="9"/>
    <x v="3"/>
    <x v="1"/>
    <n v="1"/>
    <x v="76"/>
    <x v="5"/>
    <s v="Mumbai"/>
  </r>
  <r>
    <n v="85408160"/>
    <s v="Shayak Srinivasan"/>
    <x v="1"/>
    <x v="219"/>
    <n v="4731"/>
    <x v="0"/>
    <x v="3"/>
    <x v="7"/>
    <x v="3"/>
    <x v="5"/>
    <n v="0"/>
    <x v="8"/>
    <x v="2"/>
    <s v="Jaipur"/>
  </r>
  <r>
    <n v="66190872"/>
    <s v="Aaina Walla"/>
    <x v="1"/>
    <x v="22"/>
    <n v="16724"/>
    <x v="2"/>
    <x v="4"/>
    <x v="4"/>
    <x v="3"/>
    <x v="5"/>
    <n v="0"/>
    <x v="82"/>
    <x v="5"/>
    <s v="Delhi"/>
  </r>
  <r>
    <n v="70531547"/>
    <s v="Renee Mall"/>
    <x v="9"/>
    <x v="180"/>
    <n v="9063"/>
    <x v="3"/>
    <x v="1"/>
    <x v="5"/>
    <x v="0"/>
    <x v="7"/>
    <n v="1"/>
    <x v="56"/>
    <x v="2"/>
    <s v="Kochi"/>
  </r>
  <r>
    <n v="73852350"/>
    <s v="Rhea Divan"/>
    <x v="6"/>
    <x v="90"/>
    <n v="2564"/>
    <x v="3"/>
    <x v="2"/>
    <x v="8"/>
    <x v="1"/>
    <x v="5"/>
    <n v="1"/>
    <x v="59"/>
    <x v="3"/>
    <s v="Hyderabad"/>
  </r>
  <r>
    <n v="49379435"/>
    <s v="Madhav Yogi"/>
    <x v="9"/>
    <x v="217"/>
    <n v="13275"/>
    <x v="0"/>
    <x v="1"/>
    <x v="5"/>
    <x v="1"/>
    <x v="5"/>
    <n v="0"/>
    <x v="65"/>
    <x v="4"/>
    <s v="Mumbai"/>
  </r>
  <r>
    <n v="37805255"/>
    <s v="Lakshit Dhawan"/>
    <x v="4"/>
    <x v="220"/>
    <n v="7041"/>
    <x v="0"/>
    <x v="4"/>
    <x v="4"/>
    <x v="1"/>
    <x v="6"/>
    <n v="0"/>
    <x v="67"/>
    <x v="2"/>
    <s v="Mumbai"/>
  </r>
  <r>
    <n v="71338553"/>
    <s v="Vidur Balasubramanian"/>
    <x v="1"/>
    <x v="221"/>
    <n v="1274"/>
    <x v="0"/>
    <x v="2"/>
    <x v="1"/>
    <x v="2"/>
    <x v="4"/>
    <n v="1"/>
    <x v="45"/>
    <x v="5"/>
    <s v="Chennai"/>
  </r>
  <r>
    <n v="41797189"/>
    <s v="Taimur Chahal"/>
    <x v="2"/>
    <x v="125"/>
    <n v="9248"/>
    <x v="1"/>
    <x v="3"/>
    <x v="5"/>
    <x v="2"/>
    <x v="8"/>
    <n v="0"/>
    <x v="6"/>
    <x v="2"/>
    <s v="Lucknow"/>
  </r>
  <r>
    <n v="46109432"/>
    <s v="Kavya Sarkar"/>
    <x v="0"/>
    <x v="220"/>
    <n v="14248"/>
    <x v="0"/>
    <x v="2"/>
    <x v="6"/>
    <x v="0"/>
    <x v="3"/>
    <n v="0"/>
    <x v="84"/>
    <x v="3"/>
    <s v="Ahmedabad"/>
  </r>
  <r>
    <n v="60931822"/>
    <s v="Hrishita Sood"/>
    <x v="7"/>
    <x v="2"/>
    <n v="22850"/>
    <x v="1"/>
    <x v="2"/>
    <x v="7"/>
    <x v="2"/>
    <x v="7"/>
    <n v="1"/>
    <x v="85"/>
    <x v="2"/>
    <s v="Jaipur"/>
  </r>
  <r>
    <n v="71675303"/>
    <s v="Keya Kamdar"/>
    <x v="8"/>
    <x v="222"/>
    <n v="13363"/>
    <x v="0"/>
    <x v="0"/>
    <x v="8"/>
    <x v="1"/>
    <x v="1"/>
    <n v="0"/>
    <x v="67"/>
    <x v="0"/>
    <s v="Kolkata"/>
  </r>
  <r>
    <n v="48040457"/>
    <s v="Ivan Zacharia"/>
    <x v="4"/>
    <x v="88"/>
    <n v="23783"/>
    <x v="0"/>
    <x v="2"/>
    <x v="2"/>
    <x v="1"/>
    <x v="8"/>
    <n v="1"/>
    <x v="73"/>
    <x v="1"/>
    <s v="Chennai"/>
  </r>
  <r>
    <n v="96559509"/>
    <s v="Tejas Chandra"/>
    <x v="4"/>
    <x v="202"/>
    <n v="16730"/>
    <x v="1"/>
    <x v="4"/>
    <x v="6"/>
    <x v="1"/>
    <x v="7"/>
    <n v="0"/>
    <x v="15"/>
    <x v="1"/>
    <s v="Hyderabad"/>
  </r>
  <r>
    <n v="62646678"/>
    <s v="Ahana  Dyal"/>
    <x v="2"/>
    <x v="38"/>
    <n v="3855"/>
    <x v="2"/>
    <x v="0"/>
    <x v="2"/>
    <x v="2"/>
    <x v="2"/>
    <n v="1"/>
    <x v="4"/>
    <x v="0"/>
    <s v="Lucknow"/>
  </r>
  <r>
    <n v="76540878"/>
    <s v="Anahi Goda"/>
    <x v="2"/>
    <x v="223"/>
    <n v="24162"/>
    <x v="1"/>
    <x v="2"/>
    <x v="2"/>
    <x v="3"/>
    <x v="2"/>
    <n v="0"/>
    <x v="37"/>
    <x v="2"/>
    <s v="Kolkata"/>
  </r>
  <r>
    <n v="96079306"/>
    <s v="Oorja Dugar"/>
    <x v="3"/>
    <x v="224"/>
    <n v="22131"/>
    <x v="0"/>
    <x v="4"/>
    <x v="8"/>
    <x v="3"/>
    <x v="4"/>
    <n v="0"/>
    <x v="62"/>
    <x v="4"/>
    <s v="Kolkata"/>
  </r>
  <r>
    <n v="40983503"/>
    <s v="Anahi Shetty"/>
    <x v="6"/>
    <x v="163"/>
    <n v="19992"/>
    <x v="3"/>
    <x v="0"/>
    <x v="4"/>
    <x v="1"/>
    <x v="2"/>
    <n v="0"/>
    <x v="30"/>
    <x v="5"/>
    <s v="Kolkata"/>
  </r>
  <r>
    <n v="87061467"/>
    <s v="Madhav Behl"/>
    <x v="5"/>
    <x v="225"/>
    <n v="13657"/>
    <x v="1"/>
    <x v="0"/>
    <x v="8"/>
    <x v="3"/>
    <x v="7"/>
    <n v="1"/>
    <x v="62"/>
    <x v="4"/>
    <s v="Mumbai"/>
  </r>
  <r>
    <n v="64039519"/>
    <s v="Advika Sathe"/>
    <x v="1"/>
    <x v="218"/>
    <n v="15362"/>
    <x v="1"/>
    <x v="3"/>
    <x v="1"/>
    <x v="2"/>
    <x v="3"/>
    <n v="0"/>
    <x v="80"/>
    <x v="1"/>
    <s v="Ahmedabad"/>
  </r>
  <r>
    <n v="42558204"/>
    <s v="Nakul Rao"/>
    <x v="5"/>
    <x v="62"/>
    <n v="24102"/>
    <x v="1"/>
    <x v="4"/>
    <x v="0"/>
    <x v="0"/>
    <x v="2"/>
    <n v="0"/>
    <x v="31"/>
    <x v="2"/>
    <s v="Kolkata"/>
  </r>
  <r>
    <n v="32374141"/>
    <s v="Miraan Chhabra"/>
    <x v="8"/>
    <x v="189"/>
    <n v="2742"/>
    <x v="1"/>
    <x v="4"/>
    <x v="7"/>
    <x v="1"/>
    <x v="4"/>
    <n v="1"/>
    <x v="32"/>
    <x v="5"/>
    <s v="Ahmedabad"/>
  </r>
  <r>
    <n v="26314863"/>
    <s v="Eshani Handa"/>
    <x v="4"/>
    <x v="27"/>
    <n v="2096"/>
    <x v="3"/>
    <x v="1"/>
    <x v="5"/>
    <x v="0"/>
    <x v="4"/>
    <n v="1"/>
    <x v="7"/>
    <x v="1"/>
    <s v="Ahmedabad"/>
  </r>
  <r>
    <n v="78822238"/>
    <s v="Oorja Sahota"/>
    <x v="0"/>
    <x v="226"/>
    <n v="15624"/>
    <x v="2"/>
    <x v="3"/>
    <x v="0"/>
    <x v="0"/>
    <x v="8"/>
    <n v="0"/>
    <x v="78"/>
    <x v="4"/>
    <s v="Chennai"/>
  </r>
  <r>
    <n v="69790649"/>
    <s v="Divij Dhar"/>
    <x v="3"/>
    <x v="227"/>
    <n v="16638"/>
    <x v="1"/>
    <x v="3"/>
    <x v="9"/>
    <x v="2"/>
    <x v="7"/>
    <n v="0"/>
    <x v="53"/>
    <x v="5"/>
    <s v="Jaipur"/>
  </r>
  <r>
    <n v="88888500"/>
    <s v="Faiyaz Bhat"/>
    <x v="6"/>
    <x v="107"/>
    <n v="13761"/>
    <x v="0"/>
    <x v="3"/>
    <x v="6"/>
    <x v="1"/>
    <x v="3"/>
    <n v="0"/>
    <x v="10"/>
    <x v="4"/>
    <s v="Ahmedabad"/>
  </r>
  <r>
    <n v="69935435"/>
    <s v="Akarsh Sane"/>
    <x v="0"/>
    <x v="219"/>
    <n v="24993"/>
    <x v="1"/>
    <x v="2"/>
    <x v="6"/>
    <x v="0"/>
    <x v="5"/>
    <n v="0"/>
    <x v="46"/>
    <x v="2"/>
    <s v="Hyderabad"/>
  </r>
  <r>
    <n v="97724869"/>
    <s v="Azad Gour"/>
    <x v="4"/>
    <x v="198"/>
    <n v="17599"/>
    <x v="1"/>
    <x v="4"/>
    <x v="7"/>
    <x v="3"/>
    <x v="6"/>
    <n v="1"/>
    <x v="49"/>
    <x v="0"/>
    <s v="Mumbai"/>
  </r>
  <r>
    <n v="73492027"/>
    <s v="Samiha Chand"/>
    <x v="9"/>
    <x v="228"/>
    <n v="14301"/>
    <x v="1"/>
    <x v="3"/>
    <x v="2"/>
    <x v="2"/>
    <x v="0"/>
    <n v="1"/>
    <x v="85"/>
    <x v="4"/>
    <s v="Kochi"/>
  </r>
  <r>
    <n v="20736730"/>
    <s v="Aniruddh Chauhan"/>
    <x v="7"/>
    <x v="229"/>
    <n v="3728"/>
    <x v="1"/>
    <x v="1"/>
    <x v="8"/>
    <x v="0"/>
    <x v="3"/>
    <n v="0"/>
    <x v="11"/>
    <x v="1"/>
    <s v="Kochi"/>
  </r>
  <r>
    <n v="47105121"/>
    <s v="Jhanvi Thaker"/>
    <x v="3"/>
    <x v="230"/>
    <n v="19255"/>
    <x v="0"/>
    <x v="4"/>
    <x v="8"/>
    <x v="2"/>
    <x v="3"/>
    <n v="1"/>
    <x v="4"/>
    <x v="4"/>
    <s v="Hyderabad"/>
  </r>
  <r>
    <n v="96725697"/>
    <s v="Rhea Desai"/>
    <x v="7"/>
    <x v="231"/>
    <n v="7013"/>
    <x v="1"/>
    <x v="2"/>
    <x v="0"/>
    <x v="3"/>
    <x v="0"/>
    <n v="0"/>
    <x v="2"/>
    <x v="3"/>
    <s v="Hyderabad"/>
  </r>
  <r>
    <n v="59503648"/>
    <s v="Veer Mann"/>
    <x v="4"/>
    <x v="38"/>
    <n v="3188"/>
    <x v="1"/>
    <x v="0"/>
    <x v="9"/>
    <x v="2"/>
    <x v="7"/>
    <n v="0"/>
    <x v="74"/>
    <x v="2"/>
    <s v="Chennai"/>
  </r>
  <r>
    <n v="56595253"/>
    <s v="Misha Brahmbhatt"/>
    <x v="9"/>
    <x v="186"/>
    <n v="7177"/>
    <x v="0"/>
    <x v="3"/>
    <x v="8"/>
    <x v="2"/>
    <x v="6"/>
    <n v="0"/>
    <x v="35"/>
    <x v="0"/>
    <s v="Hyderabad"/>
  </r>
  <r>
    <n v="38403665"/>
    <s v="Ishaan Sood"/>
    <x v="7"/>
    <x v="125"/>
    <n v="9812"/>
    <x v="3"/>
    <x v="3"/>
    <x v="4"/>
    <x v="2"/>
    <x v="3"/>
    <n v="0"/>
    <x v="84"/>
    <x v="5"/>
    <s v="Mumbai"/>
  </r>
  <r>
    <n v="24957911"/>
    <s v="Gatik Krishna"/>
    <x v="0"/>
    <x v="56"/>
    <n v="10515"/>
    <x v="1"/>
    <x v="0"/>
    <x v="0"/>
    <x v="0"/>
    <x v="4"/>
    <n v="0"/>
    <x v="85"/>
    <x v="0"/>
    <s v="Mumbai"/>
  </r>
  <r>
    <n v="26453296"/>
    <s v="Tushar Dewan"/>
    <x v="5"/>
    <x v="64"/>
    <n v="15195"/>
    <x v="1"/>
    <x v="3"/>
    <x v="1"/>
    <x v="1"/>
    <x v="5"/>
    <n v="0"/>
    <x v="50"/>
    <x v="2"/>
    <s v="Chennai"/>
  </r>
  <r>
    <n v="57959505"/>
    <s v="Shlok Dewan"/>
    <x v="7"/>
    <x v="91"/>
    <n v="7669"/>
    <x v="1"/>
    <x v="0"/>
    <x v="2"/>
    <x v="3"/>
    <x v="2"/>
    <n v="0"/>
    <x v="7"/>
    <x v="4"/>
    <s v="Ahmedabad"/>
  </r>
  <r>
    <n v="25638826"/>
    <s v="Parinaaz Sama"/>
    <x v="0"/>
    <x v="170"/>
    <n v="15548"/>
    <x v="0"/>
    <x v="3"/>
    <x v="7"/>
    <x v="2"/>
    <x v="4"/>
    <n v="1"/>
    <x v="70"/>
    <x v="0"/>
    <s v="Ahmedabad"/>
  </r>
  <r>
    <n v="87559065"/>
    <s v="Nehmat Krish"/>
    <x v="4"/>
    <x v="232"/>
    <n v="7397"/>
    <x v="3"/>
    <x v="2"/>
    <x v="8"/>
    <x v="3"/>
    <x v="2"/>
    <n v="0"/>
    <x v="52"/>
    <x v="2"/>
    <s v="Jaipur"/>
  </r>
  <r>
    <n v="91102338"/>
    <s v="Mamooty Wadhwa"/>
    <x v="8"/>
    <x v="50"/>
    <n v="12541"/>
    <x v="3"/>
    <x v="3"/>
    <x v="4"/>
    <x v="3"/>
    <x v="2"/>
    <n v="0"/>
    <x v="4"/>
    <x v="4"/>
    <s v="Jaipur"/>
  </r>
  <r>
    <n v="65621079"/>
    <s v="Hiran Dhingra"/>
    <x v="3"/>
    <x v="180"/>
    <n v="23248"/>
    <x v="1"/>
    <x v="2"/>
    <x v="2"/>
    <x v="0"/>
    <x v="2"/>
    <n v="0"/>
    <x v="10"/>
    <x v="0"/>
    <s v="Mumbai"/>
  </r>
  <r>
    <n v="71221324"/>
    <s v="Krish Rama"/>
    <x v="7"/>
    <x v="106"/>
    <n v="2156"/>
    <x v="0"/>
    <x v="1"/>
    <x v="1"/>
    <x v="0"/>
    <x v="0"/>
    <n v="0"/>
    <x v="77"/>
    <x v="2"/>
    <s v="Ahmedabad"/>
  </r>
  <r>
    <n v="91713852"/>
    <s v="Taran Mane"/>
    <x v="5"/>
    <x v="225"/>
    <n v="12799"/>
    <x v="1"/>
    <x v="0"/>
    <x v="0"/>
    <x v="0"/>
    <x v="3"/>
    <n v="0"/>
    <x v="78"/>
    <x v="3"/>
    <s v="Jaipur"/>
  </r>
  <r>
    <n v="13851101"/>
    <s v="Ivana Ray"/>
    <x v="2"/>
    <x v="233"/>
    <n v="16475"/>
    <x v="3"/>
    <x v="1"/>
    <x v="0"/>
    <x v="1"/>
    <x v="5"/>
    <n v="0"/>
    <x v="11"/>
    <x v="3"/>
    <s v="Kolkata"/>
  </r>
  <r>
    <n v="50902245"/>
    <s v="Yuvraj  Choudhury"/>
    <x v="8"/>
    <x v="234"/>
    <n v="3482"/>
    <x v="2"/>
    <x v="4"/>
    <x v="2"/>
    <x v="1"/>
    <x v="0"/>
    <n v="0"/>
    <x v="85"/>
    <x v="0"/>
    <s v="Chennai"/>
  </r>
  <r>
    <n v="36905292"/>
    <s v="Parinaaz Sethi"/>
    <x v="7"/>
    <x v="235"/>
    <n v="15347"/>
    <x v="1"/>
    <x v="2"/>
    <x v="4"/>
    <x v="1"/>
    <x v="8"/>
    <n v="0"/>
    <x v="37"/>
    <x v="4"/>
    <s v="Lucknow"/>
  </r>
  <r>
    <n v="70408964"/>
    <s v="Dharmajan Jaggi"/>
    <x v="4"/>
    <x v="236"/>
    <n v="3959"/>
    <x v="2"/>
    <x v="2"/>
    <x v="0"/>
    <x v="0"/>
    <x v="3"/>
    <n v="0"/>
    <x v="73"/>
    <x v="4"/>
    <s v="Delhi"/>
  </r>
  <r>
    <n v="19245784"/>
    <s v="Advika Wason"/>
    <x v="6"/>
    <x v="237"/>
    <n v="14491"/>
    <x v="1"/>
    <x v="2"/>
    <x v="2"/>
    <x v="0"/>
    <x v="2"/>
    <n v="0"/>
    <x v="42"/>
    <x v="5"/>
    <s v="Chennai"/>
  </r>
  <r>
    <n v="73157031"/>
    <s v="Shayak Dugar"/>
    <x v="8"/>
    <x v="238"/>
    <n v="1388"/>
    <x v="2"/>
    <x v="2"/>
    <x v="4"/>
    <x v="3"/>
    <x v="0"/>
    <n v="0"/>
    <x v="23"/>
    <x v="5"/>
    <s v="Lucknow"/>
  </r>
  <r>
    <n v="47817516"/>
    <s v="Hunar Loyal"/>
    <x v="1"/>
    <x v="49"/>
    <n v="11074"/>
    <x v="0"/>
    <x v="2"/>
    <x v="5"/>
    <x v="0"/>
    <x v="5"/>
    <n v="0"/>
    <x v="85"/>
    <x v="1"/>
    <s v="Ahmedabad"/>
  </r>
  <r>
    <n v="29279198"/>
    <s v="Ehsaan Acharya"/>
    <x v="1"/>
    <x v="239"/>
    <n v="24500"/>
    <x v="2"/>
    <x v="4"/>
    <x v="8"/>
    <x v="2"/>
    <x v="7"/>
    <n v="0"/>
    <x v="85"/>
    <x v="2"/>
    <s v="Ahmedabad"/>
  </r>
  <r>
    <n v="82704953"/>
    <s v="Umang Kamdar"/>
    <x v="8"/>
    <x v="240"/>
    <n v="1040"/>
    <x v="1"/>
    <x v="1"/>
    <x v="0"/>
    <x v="2"/>
    <x v="8"/>
    <n v="1"/>
    <x v="32"/>
    <x v="3"/>
    <s v="Chennai"/>
  </r>
  <r>
    <n v="55690090"/>
    <s v="Misha Lad"/>
    <x v="3"/>
    <x v="31"/>
    <n v="23121"/>
    <x v="1"/>
    <x v="2"/>
    <x v="9"/>
    <x v="3"/>
    <x v="0"/>
    <n v="0"/>
    <x v="9"/>
    <x v="1"/>
    <s v="Mumbai"/>
  </r>
  <r>
    <n v="27774338"/>
    <s v="Darshit Chand"/>
    <x v="6"/>
    <x v="241"/>
    <n v="22280"/>
    <x v="1"/>
    <x v="3"/>
    <x v="9"/>
    <x v="1"/>
    <x v="0"/>
    <n v="0"/>
    <x v="49"/>
    <x v="1"/>
    <s v="Kolkata"/>
  </r>
  <r>
    <n v="54588413"/>
    <s v="Tara Sood"/>
    <x v="2"/>
    <x v="107"/>
    <n v="15188"/>
    <x v="3"/>
    <x v="1"/>
    <x v="5"/>
    <x v="2"/>
    <x v="7"/>
    <n v="1"/>
    <x v="30"/>
    <x v="1"/>
    <s v="Chennai"/>
  </r>
  <r>
    <n v="61243452"/>
    <s v="Anaya Sur"/>
    <x v="6"/>
    <x v="221"/>
    <n v="15686"/>
    <x v="1"/>
    <x v="1"/>
    <x v="8"/>
    <x v="1"/>
    <x v="4"/>
    <n v="0"/>
    <x v="67"/>
    <x v="3"/>
    <s v="Jaipur"/>
  </r>
  <r>
    <n v="10503549"/>
    <s v="Chirag Badami"/>
    <x v="3"/>
    <x v="242"/>
    <n v="15834"/>
    <x v="1"/>
    <x v="1"/>
    <x v="8"/>
    <x v="2"/>
    <x v="1"/>
    <n v="0"/>
    <x v="40"/>
    <x v="2"/>
    <s v="Bangalore"/>
  </r>
  <r>
    <n v="19760771"/>
    <s v="Hansh Chanda"/>
    <x v="9"/>
    <x v="243"/>
    <n v="12593"/>
    <x v="0"/>
    <x v="0"/>
    <x v="0"/>
    <x v="3"/>
    <x v="1"/>
    <n v="0"/>
    <x v="58"/>
    <x v="5"/>
    <s v="Chennai"/>
  </r>
  <r>
    <n v="99943976"/>
    <s v="Kanav Kulkarni"/>
    <x v="1"/>
    <x v="244"/>
    <n v="22141"/>
    <x v="0"/>
    <x v="1"/>
    <x v="5"/>
    <x v="0"/>
    <x v="0"/>
    <n v="0"/>
    <x v="44"/>
    <x v="2"/>
    <s v="Delhi"/>
  </r>
  <r>
    <n v="69841414"/>
    <s v="Aayush Lad"/>
    <x v="9"/>
    <x v="245"/>
    <n v="4289"/>
    <x v="1"/>
    <x v="2"/>
    <x v="3"/>
    <x v="1"/>
    <x v="5"/>
    <n v="0"/>
    <x v="63"/>
    <x v="2"/>
    <s v="Mumbai"/>
  </r>
  <r>
    <n v="43721608"/>
    <s v="Biju Rajagopal"/>
    <x v="9"/>
    <x v="225"/>
    <n v="12409"/>
    <x v="1"/>
    <x v="3"/>
    <x v="8"/>
    <x v="1"/>
    <x v="1"/>
    <n v="0"/>
    <x v="66"/>
    <x v="2"/>
    <s v="Delhi"/>
  </r>
  <r>
    <n v="44514712"/>
    <s v="Drishya Wason"/>
    <x v="8"/>
    <x v="170"/>
    <n v="17306"/>
    <x v="0"/>
    <x v="4"/>
    <x v="2"/>
    <x v="3"/>
    <x v="0"/>
    <n v="0"/>
    <x v="67"/>
    <x v="2"/>
    <s v="Kolkata"/>
  </r>
  <r>
    <n v="53226199"/>
    <s v="Parinaaz Loyal"/>
    <x v="6"/>
    <x v="32"/>
    <n v="11905"/>
    <x v="1"/>
    <x v="0"/>
    <x v="9"/>
    <x v="2"/>
    <x v="6"/>
    <n v="0"/>
    <x v="12"/>
    <x v="2"/>
    <s v="Ahmedabad"/>
  </r>
  <r>
    <n v="14489900"/>
    <s v="Inaaya  Mani"/>
    <x v="4"/>
    <x v="164"/>
    <n v="1757"/>
    <x v="1"/>
    <x v="3"/>
    <x v="4"/>
    <x v="0"/>
    <x v="8"/>
    <n v="0"/>
    <x v="61"/>
    <x v="3"/>
    <s v="Delhi"/>
  </r>
  <r>
    <n v="94022226"/>
    <s v="Saksham Sahni"/>
    <x v="3"/>
    <x v="246"/>
    <n v="9753"/>
    <x v="1"/>
    <x v="4"/>
    <x v="8"/>
    <x v="0"/>
    <x v="1"/>
    <n v="0"/>
    <x v="26"/>
    <x v="3"/>
    <s v="Delhi"/>
  </r>
  <r>
    <n v="56889647"/>
    <s v="Keya Konda"/>
    <x v="3"/>
    <x v="230"/>
    <n v="1627"/>
    <x v="0"/>
    <x v="4"/>
    <x v="6"/>
    <x v="0"/>
    <x v="4"/>
    <n v="1"/>
    <x v="62"/>
    <x v="5"/>
    <s v="Kolkata"/>
  </r>
  <r>
    <n v="46357457"/>
    <s v="Purab Dhar"/>
    <x v="4"/>
    <x v="141"/>
    <n v="9255"/>
    <x v="2"/>
    <x v="2"/>
    <x v="6"/>
    <x v="0"/>
    <x v="4"/>
    <n v="1"/>
    <x v="3"/>
    <x v="5"/>
    <s v="Jaipur"/>
  </r>
  <r>
    <n v="49423002"/>
    <s v="Hazel Kala"/>
    <x v="8"/>
    <x v="9"/>
    <n v="17692"/>
    <x v="2"/>
    <x v="0"/>
    <x v="6"/>
    <x v="0"/>
    <x v="8"/>
    <n v="0"/>
    <x v="10"/>
    <x v="3"/>
    <s v="Delhi"/>
  </r>
  <r>
    <n v="92787297"/>
    <s v="Piya Bhat"/>
    <x v="8"/>
    <x v="247"/>
    <n v="10177"/>
    <x v="0"/>
    <x v="0"/>
    <x v="1"/>
    <x v="3"/>
    <x v="4"/>
    <n v="0"/>
    <x v="25"/>
    <x v="5"/>
    <s v="Hyderabad"/>
  </r>
  <r>
    <n v="93410928"/>
    <s v="Sana Bhagat"/>
    <x v="5"/>
    <x v="32"/>
    <n v="916"/>
    <x v="0"/>
    <x v="2"/>
    <x v="9"/>
    <x v="0"/>
    <x v="8"/>
    <n v="0"/>
    <x v="1"/>
    <x v="3"/>
    <s v="Hyderabad"/>
  </r>
  <r>
    <n v="38843622"/>
    <s v="Badal Sem"/>
    <x v="3"/>
    <x v="13"/>
    <n v="4755"/>
    <x v="3"/>
    <x v="4"/>
    <x v="6"/>
    <x v="3"/>
    <x v="4"/>
    <n v="0"/>
    <x v="32"/>
    <x v="3"/>
    <s v="Hyderabad"/>
  </r>
  <r>
    <n v="81433034"/>
    <s v="Dishani Kala"/>
    <x v="6"/>
    <x v="158"/>
    <n v="22084"/>
    <x v="1"/>
    <x v="2"/>
    <x v="9"/>
    <x v="3"/>
    <x v="5"/>
    <n v="0"/>
    <x v="44"/>
    <x v="3"/>
    <s v="Bangalore"/>
  </r>
  <r>
    <n v="25987494"/>
    <s v="Dishani Samra"/>
    <x v="2"/>
    <x v="65"/>
    <n v="3113"/>
    <x v="0"/>
    <x v="2"/>
    <x v="0"/>
    <x v="1"/>
    <x v="1"/>
    <n v="0"/>
    <x v="15"/>
    <x v="4"/>
    <s v="Jaipur"/>
  </r>
  <r>
    <n v="53984717"/>
    <s v="Neysa Madan"/>
    <x v="4"/>
    <x v="193"/>
    <n v="22063"/>
    <x v="0"/>
    <x v="4"/>
    <x v="4"/>
    <x v="3"/>
    <x v="6"/>
    <n v="0"/>
    <x v="82"/>
    <x v="3"/>
    <s v="Lucknow"/>
  </r>
  <r>
    <n v="43253338"/>
    <s v="Amira Iyengar"/>
    <x v="5"/>
    <x v="248"/>
    <n v="235"/>
    <x v="1"/>
    <x v="4"/>
    <x v="6"/>
    <x v="3"/>
    <x v="0"/>
    <n v="0"/>
    <x v="11"/>
    <x v="4"/>
    <s v="Chennai"/>
  </r>
  <r>
    <n v="24723763"/>
    <s v="Jiya Doshi"/>
    <x v="7"/>
    <x v="249"/>
    <n v="13100"/>
    <x v="3"/>
    <x v="2"/>
    <x v="3"/>
    <x v="3"/>
    <x v="7"/>
    <n v="0"/>
    <x v="29"/>
    <x v="3"/>
    <s v="Jaipur"/>
  </r>
  <r>
    <n v="70605670"/>
    <s v="Kanav Dewan"/>
    <x v="2"/>
    <x v="250"/>
    <n v="18610"/>
    <x v="3"/>
    <x v="2"/>
    <x v="4"/>
    <x v="2"/>
    <x v="4"/>
    <n v="0"/>
    <x v="58"/>
    <x v="0"/>
    <s v="Ahmedabad"/>
  </r>
  <r>
    <n v="50905060"/>
    <s v="Shlok Hegde"/>
    <x v="0"/>
    <x v="251"/>
    <n v="16231"/>
    <x v="0"/>
    <x v="0"/>
    <x v="5"/>
    <x v="0"/>
    <x v="3"/>
    <n v="0"/>
    <x v="62"/>
    <x v="4"/>
    <s v="Hyderabad"/>
  </r>
  <r>
    <n v="45638628"/>
    <s v="Armaan Walla"/>
    <x v="3"/>
    <x v="152"/>
    <n v="11914"/>
    <x v="3"/>
    <x v="1"/>
    <x v="5"/>
    <x v="1"/>
    <x v="0"/>
    <n v="0"/>
    <x v="14"/>
    <x v="5"/>
    <s v="Delhi"/>
  </r>
  <r>
    <n v="45060895"/>
    <s v="Aaryahi Soni"/>
    <x v="4"/>
    <x v="73"/>
    <n v="15367"/>
    <x v="2"/>
    <x v="4"/>
    <x v="1"/>
    <x v="3"/>
    <x v="2"/>
    <n v="0"/>
    <x v="77"/>
    <x v="0"/>
    <s v="Hyderabad"/>
  </r>
  <r>
    <n v="47480125"/>
    <s v="Zaina Kara"/>
    <x v="9"/>
    <x v="252"/>
    <n v="3411"/>
    <x v="0"/>
    <x v="0"/>
    <x v="3"/>
    <x v="2"/>
    <x v="4"/>
    <n v="0"/>
    <x v="31"/>
    <x v="5"/>
    <s v="Ahmedabad"/>
  </r>
  <r>
    <n v="99532153"/>
    <s v="Shray Soman"/>
    <x v="1"/>
    <x v="33"/>
    <n v="21273"/>
    <x v="2"/>
    <x v="0"/>
    <x v="6"/>
    <x v="3"/>
    <x v="4"/>
    <n v="0"/>
    <x v="72"/>
    <x v="2"/>
    <s v="Kolkata"/>
  </r>
  <r>
    <n v="87782801"/>
    <s v="Yuvraj  Ramaswamy"/>
    <x v="1"/>
    <x v="209"/>
    <n v="14489"/>
    <x v="0"/>
    <x v="0"/>
    <x v="0"/>
    <x v="2"/>
    <x v="0"/>
    <n v="0"/>
    <x v="54"/>
    <x v="4"/>
    <s v="Kochi"/>
  </r>
  <r>
    <n v="73018484"/>
    <s v="Ira Anne"/>
    <x v="2"/>
    <x v="253"/>
    <n v="18326"/>
    <x v="1"/>
    <x v="2"/>
    <x v="7"/>
    <x v="0"/>
    <x v="2"/>
    <n v="0"/>
    <x v="12"/>
    <x v="3"/>
    <s v="Hyderabad"/>
  </r>
  <r>
    <n v="53876396"/>
    <s v="Vedika Kulkarni"/>
    <x v="7"/>
    <x v="254"/>
    <n v="655"/>
    <x v="3"/>
    <x v="4"/>
    <x v="9"/>
    <x v="2"/>
    <x v="5"/>
    <n v="0"/>
    <x v="0"/>
    <x v="1"/>
    <s v="Ahmedabad"/>
  </r>
  <r>
    <n v="62949794"/>
    <s v="Anay Khare"/>
    <x v="9"/>
    <x v="23"/>
    <n v="10045"/>
    <x v="1"/>
    <x v="1"/>
    <x v="1"/>
    <x v="3"/>
    <x v="8"/>
    <n v="0"/>
    <x v="16"/>
    <x v="4"/>
    <s v="Hyderabad"/>
  </r>
  <r>
    <n v="62765558"/>
    <s v="Damini Shukla"/>
    <x v="7"/>
    <x v="104"/>
    <n v="9046"/>
    <x v="0"/>
    <x v="3"/>
    <x v="9"/>
    <x v="3"/>
    <x v="4"/>
    <n v="0"/>
    <x v="21"/>
    <x v="3"/>
    <s v="Mumbai"/>
  </r>
  <r>
    <n v="73757884"/>
    <s v="Anvi Dass"/>
    <x v="8"/>
    <x v="191"/>
    <n v="24940"/>
    <x v="3"/>
    <x v="4"/>
    <x v="6"/>
    <x v="3"/>
    <x v="8"/>
    <n v="1"/>
    <x v="69"/>
    <x v="0"/>
    <s v="Hyderabad"/>
  </r>
  <r>
    <n v="89464402"/>
    <s v="Kismat Trivedi"/>
    <x v="9"/>
    <x v="233"/>
    <n v="3916"/>
    <x v="1"/>
    <x v="2"/>
    <x v="4"/>
    <x v="1"/>
    <x v="1"/>
    <n v="1"/>
    <x v="59"/>
    <x v="3"/>
    <s v="Hyderabad"/>
  </r>
  <r>
    <n v="19697885"/>
    <s v="Parinaaz Suresh"/>
    <x v="4"/>
    <x v="109"/>
    <n v="20757"/>
    <x v="1"/>
    <x v="1"/>
    <x v="9"/>
    <x v="0"/>
    <x v="1"/>
    <n v="0"/>
    <x v="24"/>
    <x v="2"/>
    <s v="Delhi"/>
  </r>
  <r>
    <n v="20922156"/>
    <s v="Sara Dhingra"/>
    <x v="2"/>
    <x v="229"/>
    <n v="20230"/>
    <x v="2"/>
    <x v="2"/>
    <x v="0"/>
    <x v="3"/>
    <x v="2"/>
    <n v="1"/>
    <x v="57"/>
    <x v="4"/>
    <s v="Delhi"/>
  </r>
  <r>
    <n v="74867110"/>
    <s v="Shray Magar"/>
    <x v="5"/>
    <x v="24"/>
    <n v="1106"/>
    <x v="1"/>
    <x v="1"/>
    <x v="1"/>
    <x v="3"/>
    <x v="8"/>
    <n v="1"/>
    <x v="51"/>
    <x v="3"/>
    <s v="Hyderabad"/>
  </r>
  <r>
    <n v="37955374"/>
    <s v="Rati Gulati"/>
    <x v="0"/>
    <x v="122"/>
    <n v="4656"/>
    <x v="3"/>
    <x v="4"/>
    <x v="7"/>
    <x v="2"/>
    <x v="6"/>
    <n v="0"/>
    <x v="54"/>
    <x v="1"/>
    <s v="Ahmedabad"/>
  </r>
  <r>
    <n v="95084386"/>
    <s v="Mohanlal Viswanathan"/>
    <x v="0"/>
    <x v="255"/>
    <n v="5037"/>
    <x v="1"/>
    <x v="3"/>
    <x v="3"/>
    <x v="1"/>
    <x v="6"/>
    <n v="0"/>
    <x v="83"/>
    <x v="1"/>
    <s v="Mumbai"/>
  </r>
  <r>
    <n v="92338799"/>
    <s v="Anay Madan"/>
    <x v="7"/>
    <x v="256"/>
    <n v="23119"/>
    <x v="1"/>
    <x v="2"/>
    <x v="2"/>
    <x v="2"/>
    <x v="3"/>
    <n v="1"/>
    <x v="10"/>
    <x v="2"/>
    <s v="Delhi"/>
  </r>
  <r>
    <n v="84805756"/>
    <s v="Vaibhav Rana"/>
    <x v="9"/>
    <x v="257"/>
    <n v="11365"/>
    <x v="1"/>
    <x v="1"/>
    <x v="7"/>
    <x v="3"/>
    <x v="0"/>
    <n v="1"/>
    <x v="24"/>
    <x v="0"/>
    <s v="Bangalore"/>
  </r>
  <r>
    <n v="71782835"/>
    <s v="Saanvi Butala"/>
    <x v="4"/>
    <x v="198"/>
    <n v="13339"/>
    <x v="0"/>
    <x v="1"/>
    <x v="3"/>
    <x v="1"/>
    <x v="3"/>
    <n v="0"/>
    <x v="59"/>
    <x v="3"/>
    <s v="Jaipur"/>
  </r>
  <r>
    <n v="94837108"/>
    <s v="Vedika Joshi"/>
    <x v="3"/>
    <x v="27"/>
    <n v="7483"/>
    <x v="1"/>
    <x v="3"/>
    <x v="4"/>
    <x v="1"/>
    <x v="4"/>
    <n v="1"/>
    <x v="61"/>
    <x v="0"/>
    <s v="Jaipur"/>
  </r>
  <r>
    <n v="72503759"/>
    <s v="Shamik Desai"/>
    <x v="2"/>
    <x v="248"/>
    <n v="1818"/>
    <x v="3"/>
    <x v="1"/>
    <x v="4"/>
    <x v="1"/>
    <x v="6"/>
    <n v="0"/>
    <x v="12"/>
    <x v="3"/>
    <s v="Lucknow"/>
  </r>
  <r>
    <n v="62603159"/>
    <s v="Romil Boase"/>
    <x v="3"/>
    <x v="208"/>
    <n v="14900"/>
    <x v="1"/>
    <x v="1"/>
    <x v="5"/>
    <x v="3"/>
    <x v="6"/>
    <n v="1"/>
    <x v="24"/>
    <x v="4"/>
    <s v="Delhi"/>
  </r>
  <r>
    <n v="18332343"/>
    <s v="Diya Raj"/>
    <x v="7"/>
    <x v="152"/>
    <n v="1299"/>
    <x v="1"/>
    <x v="3"/>
    <x v="6"/>
    <x v="3"/>
    <x v="4"/>
    <n v="0"/>
    <x v="79"/>
    <x v="1"/>
    <s v="Delhi"/>
  </r>
  <r>
    <n v="58536811"/>
    <s v="Ayesha Malhotra"/>
    <x v="8"/>
    <x v="22"/>
    <n v="3410"/>
    <x v="3"/>
    <x v="1"/>
    <x v="9"/>
    <x v="2"/>
    <x v="6"/>
    <n v="1"/>
    <x v="39"/>
    <x v="3"/>
    <s v="Kochi"/>
  </r>
  <r>
    <n v="76186197"/>
    <s v="Jayant Sodhi"/>
    <x v="6"/>
    <x v="114"/>
    <n v="10406"/>
    <x v="0"/>
    <x v="2"/>
    <x v="6"/>
    <x v="0"/>
    <x v="1"/>
    <n v="1"/>
    <x v="52"/>
    <x v="0"/>
    <s v="Lucknow"/>
  </r>
  <r>
    <n v="49535365"/>
    <s v="Himmat Sehgal"/>
    <x v="7"/>
    <x v="135"/>
    <n v="10916"/>
    <x v="3"/>
    <x v="3"/>
    <x v="4"/>
    <x v="2"/>
    <x v="0"/>
    <n v="1"/>
    <x v="37"/>
    <x v="3"/>
    <s v="Kolkata"/>
  </r>
  <r>
    <n v="26518441"/>
    <s v="Arhaan Krishna"/>
    <x v="7"/>
    <x v="162"/>
    <n v="3797"/>
    <x v="2"/>
    <x v="4"/>
    <x v="9"/>
    <x v="0"/>
    <x v="8"/>
    <n v="0"/>
    <x v="64"/>
    <x v="5"/>
    <s v="Chennai"/>
  </r>
  <r>
    <n v="40346573"/>
    <s v="Tanya Mani"/>
    <x v="9"/>
    <x v="2"/>
    <n v="14199"/>
    <x v="3"/>
    <x v="0"/>
    <x v="4"/>
    <x v="0"/>
    <x v="7"/>
    <n v="0"/>
    <x v="59"/>
    <x v="1"/>
    <s v="Kochi"/>
  </r>
  <r>
    <n v="31372090"/>
    <s v="Trisha Raja"/>
    <x v="5"/>
    <x v="258"/>
    <n v="9648"/>
    <x v="1"/>
    <x v="4"/>
    <x v="2"/>
    <x v="0"/>
    <x v="8"/>
    <n v="0"/>
    <x v="83"/>
    <x v="3"/>
    <s v="Lucknow"/>
  </r>
  <r>
    <n v="57805332"/>
    <s v="Manikya Wagle"/>
    <x v="3"/>
    <x v="259"/>
    <n v="18915"/>
    <x v="3"/>
    <x v="4"/>
    <x v="5"/>
    <x v="2"/>
    <x v="0"/>
    <n v="0"/>
    <x v="10"/>
    <x v="3"/>
    <s v="Kolkata"/>
  </r>
  <r>
    <n v="90783209"/>
    <s v="Indrans Mani"/>
    <x v="9"/>
    <x v="260"/>
    <n v="7274"/>
    <x v="0"/>
    <x v="2"/>
    <x v="8"/>
    <x v="1"/>
    <x v="0"/>
    <n v="0"/>
    <x v="68"/>
    <x v="3"/>
    <s v="Jaipur"/>
  </r>
  <r>
    <n v="26233103"/>
    <s v="Nishith Koshy"/>
    <x v="5"/>
    <x v="9"/>
    <n v="11583"/>
    <x v="0"/>
    <x v="4"/>
    <x v="9"/>
    <x v="3"/>
    <x v="8"/>
    <n v="0"/>
    <x v="24"/>
    <x v="1"/>
    <s v="Ahmedabad"/>
  </r>
  <r>
    <n v="51833384"/>
    <s v="Shayak Baria"/>
    <x v="9"/>
    <x v="139"/>
    <n v="1758"/>
    <x v="1"/>
    <x v="0"/>
    <x v="9"/>
    <x v="2"/>
    <x v="0"/>
    <n v="0"/>
    <x v="40"/>
    <x v="1"/>
    <s v="Jaipur"/>
  </r>
  <r>
    <n v="50511993"/>
    <s v="Nirvaan Shenoy"/>
    <x v="3"/>
    <x v="138"/>
    <n v="4778"/>
    <x v="0"/>
    <x v="1"/>
    <x v="2"/>
    <x v="2"/>
    <x v="1"/>
    <n v="0"/>
    <x v="25"/>
    <x v="1"/>
    <s v="Kolkata"/>
  </r>
  <r>
    <n v="96218843"/>
    <s v="Heer Bedi"/>
    <x v="8"/>
    <x v="261"/>
    <n v="5899"/>
    <x v="2"/>
    <x v="3"/>
    <x v="7"/>
    <x v="2"/>
    <x v="4"/>
    <n v="0"/>
    <x v="10"/>
    <x v="0"/>
    <s v="Kolkata"/>
  </r>
  <r>
    <n v="37850099"/>
    <s v="Anaya Bobal"/>
    <x v="3"/>
    <x v="234"/>
    <n v="14787"/>
    <x v="2"/>
    <x v="4"/>
    <x v="1"/>
    <x v="2"/>
    <x v="4"/>
    <n v="0"/>
    <x v="16"/>
    <x v="5"/>
    <s v="Kolkata"/>
  </r>
  <r>
    <n v="75964553"/>
    <s v="Advika Bhasin"/>
    <x v="9"/>
    <x v="117"/>
    <n v="24096"/>
    <x v="0"/>
    <x v="0"/>
    <x v="8"/>
    <x v="0"/>
    <x v="1"/>
    <n v="0"/>
    <x v="52"/>
    <x v="4"/>
    <s v="Ahmedabad"/>
  </r>
  <r>
    <n v="60827365"/>
    <s v="Reyansh Manda"/>
    <x v="7"/>
    <x v="165"/>
    <n v="1748"/>
    <x v="2"/>
    <x v="1"/>
    <x v="6"/>
    <x v="1"/>
    <x v="6"/>
    <n v="1"/>
    <x v="28"/>
    <x v="1"/>
    <s v="Delhi"/>
  </r>
  <r>
    <n v="67553222"/>
    <s v="Navya Rajan"/>
    <x v="3"/>
    <x v="262"/>
    <n v="17905"/>
    <x v="1"/>
    <x v="1"/>
    <x v="5"/>
    <x v="1"/>
    <x v="5"/>
    <n v="0"/>
    <x v="64"/>
    <x v="3"/>
    <s v="Lucknow"/>
  </r>
  <r>
    <n v="70703267"/>
    <s v="Nitya Kalla"/>
    <x v="5"/>
    <x v="203"/>
    <n v="23582"/>
    <x v="2"/>
    <x v="2"/>
    <x v="6"/>
    <x v="0"/>
    <x v="7"/>
    <n v="1"/>
    <x v="62"/>
    <x v="3"/>
    <s v="Kolkata"/>
  </r>
  <r>
    <n v="93723953"/>
    <s v="Drishya Desai"/>
    <x v="0"/>
    <x v="97"/>
    <n v="10964"/>
    <x v="3"/>
    <x v="4"/>
    <x v="0"/>
    <x v="0"/>
    <x v="8"/>
    <n v="0"/>
    <x v="56"/>
    <x v="0"/>
    <s v="Jaipur"/>
  </r>
  <r>
    <n v="77013471"/>
    <s v="Piya Khurana"/>
    <x v="9"/>
    <x v="55"/>
    <n v="18061"/>
    <x v="3"/>
    <x v="0"/>
    <x v="2"/>
    <x v="3"/>
    <x v="8"/>
    <n v="0"/>
    <x v="54"/>
    <x v="3"/>
    <s v="Chennai"/>
  </r>
  <r>
    <n v="17711735"/>
    <s v="Vidur Bali"/>
    <x v="4"/>
    <x v="65"/>
    <n v="3447"/>
    <x v="3"/>
    <x v="2"/>
    <x v="8"/>
    <x v="0"/>
    <x v="6"/>
    <n v="0"/>
    <x v="26"/>
    <x v="2"/>
    <s v="Delhi"/>
  </r>
  <r>
    <n v="58869875"/>
    <s v="Hunar Dass"/>
    <x v="7"/>
    <x v="263"/>
    <n v="7336"/>
    <x v="3"/>
    <x v="4"/>
    <x v="8"/>
    <x v="2"/>
    <x v="8"/>
    <n v="0"/>
    <x v="75"/>
    <x v="1"/>
    <s v="Kolkata"/>
  </r>
  <r>
    <n v="11993515"/>
    <s v="Inaaya  Dhawan"/>
    <x v="4"/>
    <x v="264"/>
    <n v="20173"/>
    <x v="2"/>
    <x v="4"/>
    <x v="8"/>
    <x v="0"/>
    <x v="2"/>
    <n v="0"/>
    <x v="58"/>
    <x v="3"/>
    <s v="Lucknow"/>
  </r>
  <r>
    <n v="82239024"/>
    <s v="Hansh Gopal"/>
    <x v="7"/>
    <x v="234"/>
    <n v="13734"/>
    <x v="0"/>
    <x v="2"/>
    <x v="1"/>
    <x v="0"/>
    <x v="4"/>
    <n v="0"/>
    <x v="37"/>
    <x v="4"/>
    <s v="Delhi"/>
  </r>
  <r>
    <n v="86982876"/>
    <s v="Indranil Brar"/>
    <x v="3"/>
    <x v="265"/>
    <n v="15712"/>
    <x v="0"/>
    <x v="3"/>
    <x v="0"/>
    <x v="2"/>
    <x v="8"/>
    <n v="0"/>
    <x v="24"/>
    <x v="1"/>
    <s v="Hyderabad"/>
  </r>
  <r>
    <n v="45876073"/>
    <s v="Biju Chaudhary"/>
    <x v="8"/>
    <x v="266"/>
    <n v="23962"/>
    <x v="0"/>
    <x v="2"/>
    <x v="7"/>
    <x v="2"/>
    <x v="4"/>
    <n v="0"/>
    <x v="33"/>
    <x v="1"/>
    <s v="Jaipur"/>
  </r>
  <r>
    <n v="25544395"/>
    <s v="Shamik Guha"/>
    <x v="0"/>
    <x v="267"/>
    <n v="11824"/>
    <x v="1"/>
    <x v="2"/>
    <x v="9"/>
    <x v="3"/>
    <x v="6"/>
    <n v="0"/>
    <x v="23"/>
    <x v="1"/>
    <s v="Kolkata"/>
  </r>
  <r>
    <n v="54840974"/>
    <s v="Yasmin Raju"/>
    <x v="0"/>
    <x v="238"/>
    <n v="20678"/>
    <x v="1"/>
    <x v="3"/>
    <x v="0"/>
    <x v="0"/>
    <x v="1"/>
    <n v="0"/>
    <x v="67"/>
    <x v="3"/>
    <s v="Chennai"/>
  </r>
  <r>
    <n v="51197159"/>
    <s v="Himmat Gala"/>
    <x v="7"/>
    <x v="123"/>
    <n v="4951"/>
    <x v="0"/>
    <x v="4"/>
    <x v="9"/>
    <x v="1"/>
    <x v="7"/>
    <n v="0"/>
    <x v="51"/>
    <x v="0"/>
    <s v="Mumbai"/>
  </r>
  <r>
    <n v="23776754"/>
    <s v="Yashvi Mahajan"/>
    <x v="8"/>
    <x v="268"/>
    <n v="2189"/>
    <x v="0"/>
    <x v="1"/>
    <x v="0"/>
    <x v="1"/>
    <x v="4"/>
    <n v="1"/>
    <x v="68"/>
    <x v="0"/>
    <s v="Chennai"/>
  </r>
  <r>
    <n v="27097875"/>
    <s v="Kiara Char"/>
    <x v="0"/>
    <x v="45"/>
    <n v="11957"/>
    <x v="0"/>
    <x v="1"/>
    <x v="3"/>
    <x v="3"/>
    <x v="4"/>
    <n v="0"/>
    <x v="69"/>
    <x v="5"/>
    <s v="Jaipur"/>
  </r>
  <r>
    <n v="19280981"/>
    <s v="Charvi Sharaf"/>
    <x v="3"/>
    <x v="135"/>
    <n v="12023"/>
    <x v="0"/>
    <x v="1"/>
    <x v="4"/>
    <x v="1"/>
    <x v="5"/>
    <n v="0"/>
    <x v="3"/>
    <x v="3"/>
    <s v="Mumbai"/>
  </r>
  <r>
    <n v="91106018"/>
    <s v="Anya Sastry"/>
    <x v="9"/>
    <x v="25"/>
    <n v="2518"/>
    <x v="3"/>
    <x v="2"/>
    <x v="3"/>
    <x v="0"/>
    <x v="0"/>
    <n v="0"/>
    <x v="53"/>
    <x v="5"/>
    <s v="Bangalore"/>
  </r>
  <r>
    <n v="28670299"/>
    <s v="Nitya Issac"/>
    <x v="1"/>
    <x v="269"/>
    <n v="895"/>
    <x v="0"/>
    <x v="0"/>
    <x v="1"/>
    <x v="1"/>
    <x v="4"/>
    <n v="1"/>
    <x v="11"/>
    <x v="1"/>
    <s v="Hyderabad"/>
  </r>
  <r>
    <n v="44658735"/>
    <s v="Kashvi Dora"/>
    <x v="9"/>
    <x v="24"/>
    <n v="21347"/>
    <x v="3"/>
    <x v="3"/>
    <x v="0"/>
    <x v="3"/>
    <x v="5"/>
    <n v="1"/>
    <x v="48"/>
    <x v="0"/>
    <s v="Bangalore"/>
  </r>
  <r>
    <n v="57594422"/>
    <s v="Rania Bhatia"/>
    <x v="1"/>
    <x v="270"/>
    <n v="9016"/>
    <x v="0"/>
    <x v="2"/>
    <x v="5"/>
    <x v="3"/>
    <x v="2"/>
    <n v="0"/>
    <x v="83"/>
    <x v="3"/>
    <s v="Kolkata"/>
  </r>
  <r>
    <n v="58309979"/>
    <s v="Madhav Badami"/>
    <x v="0"/>
    <x v="76"/>
    <n v="10912"/>
    <x v="0"/>
    <x v="3"/>
    <x v="1"/>
    <x v="3"/>
    <x v="1"/>
    <n v="1"/>
    <x v="38"/>
    <x v="4"/>
    <s v="Bangalore"/>
  </r>
  <r>
    <n v="16064842"/>
    <s v="Gatik Dua"/>
    <x v="6"/>
    <x v="48"/>
    <n v="16211"/>
    <x v="1"/>
    <x v="3"/>
    <x v="2"/>
    <x v="2"/>
    <x v="4"/>
    <n v="0"/>
    <x v="10"/>
    <x v="5"/>
    <s v="Bangalore"/>
  </r>
  <r>
    <n v="32038843"/>
    <s v="Anahita Srinivas"/>
    <x v="8"/>
    <x v="108"/>
    <n v="7179"/>
    <x v="0"/>
    <x v="1"/>
    <x v="3"/>
    <x v="0"/>
    <x v="7"/>
    <n v="0"/>
    <x v="20"/>
    <x v="2"/>
    <s v="Lucknow"/>
  </r>
  <r>
    <n v="90880782"/>
    <s v="Biju Rana"/>
    <x v="2"/>
    <x v="87"/>
    <n v="21569"/>
    <x v="0"/>
    <x v="1"/>
    <x v="8"/>
    <x v="1"/>
    <x v="0"/>
    <n v="1"/>
    <x v="53"/>
    <x v="1"/>
    <s v="Lucknow"/>
  </r>
  <r>
    <n v="34720739"/>
    <s v="Shamik Dey"/>
    <x v="5"/>
    <x v="271"/>
    <n v="8087"/>
    <x v="3"/>
    <x v="0"/>
    <x v="6"/>
    <x v="2"/>
    <x v="7"/>
    <n v="0"/>
    <x v="61"/>
    <x v="4"/>
    <s v="Kochi"/>
  </r>
  <r>
    <n v="25391208"/>
    <s v="Arhaan Sood"/>
    <x v="1"/>
    <x v="140"/>
    <n v="4545"/>
    <x v="2"/>
    <x v="4"/>
    <x v="2"/>
    <x v="3"/>
    <x v="7"/>
    <n v="1"/>
    <x v="14"/>
    <x v="3"/>
    <s v="Mumbai"/>
  </r>
  <r>
    <n v="11566841"/>
    <s v="Aarush Savant"/>
    <x v="2"/>
    <x v="272"/>
    <n v="13250"/>
    <x v="0"/>
    <x v="0"/>
    <x v="9"/>
    <x v="0"/>
    <x v="6"/>
    <n v="0"/>
    <x v="56"/>
    <x v="0"/>
    <s v="Chennai"/>
  </r>
  <r>
    <n v="37792255"/>
    <s v="Jayesh Bora"/>
    <x v="3"/>
    <x v="198"/>
    <n v="9770"/>
    <x v="3"/>
    <x v="4"/>
    <x v="2"/>
    <x v="3"/>
    <x v="3"/>
    <n v="0"/>
    <x v="24"/>
    <x v="2"/>
    <s v="Kolkata"/>
  </r>
  <r>
    <n v="78195881"/>
    <s v="Rasha Baria"/>
    <x v="2"/>
    <x v="206"/>
    <n v="2324"/>
    <x v="0"/>
    <x v="0"/>
    <x v="7"/>
    <x v="0"/>
    <x v="1"/>
    <n v="0"/>
    <x v="17"/>
    <x v="5"/>
    <s v="Bangalore"/>
  </r>
  <r>
    <n v="16553107"/>
    <s v="Veer Chandra"/>
    <x v="4"/>
    <x v="235"/>
    <n v="11287"/>
    <x v="1"/>
    <x v="3"/>
    <x v="3"/>
    <x v="0"/>
    <x v="7"/>
    <n v="0"/>
    <x v="66"/>
    <x v="2"/>
    <s v="Kochi"/>
  </r>
  <r>
    <n v="23626485"/>
    <s v="Yuvraj  Jaggi"/>
    <x v="4"/>
    <x v="273"/>
    <n v="16796"/>
    <x v="0"/>
    <x v="1"/>
    <x v="5"/>
    <x v="2"/>
    <x v="3"/>
    <n v="0"/>
    <x v="44"/>
    <x v="0"/>
    <s v="Hyderabad"/>
  </r>
  <r>
    <n v="47281064"/>
    <s v="Eshani Hari"/>
    <x v="2"/>
    <x v="208"/>
    <n v="8102"/>
    <x v="0"/>
    <x v="1"/>
    <x v="8"/>
    <x v="3"/>
    <x v="6"/>
    <n v="0"/>
    <x v="9"/>
    <x v="0"/>
    <s v="Jaipur"/>
  </r>
  <r>
    <n v="49570396"/>
    <s v="Darshit Vora"/>
    <x v="1"/>
    <x v="124"/>
    <n v="16197"/>
    <x v="1"/>
    <x v="3"/>
    <x v="9"/>
    <x v="3"/>
    <x v="0"/>
    <n v="0"/>
    <x v="62"/>
    <x v="1"/>
    <s v="Kochi"/>
  </r>
  <r>
    <n v="14844929"/>
    <s v="Yuvaan Gopal"/>
    <x v="8"/>
    <x v="274"/>
    <n v="19237"/>
    <x v="2"/>
    <x v="0"/>
    <x v="7"/>
    <x v="1"/>
    <x v="3"/>
    <n v="0"/>
    <x v="53"/>
    <x v="3"/>
    <s v="Mumbai"/>
  </r>
  <r>
    <n v="70682410"/>
    <s v="Shayak Madan"/>
    <x v="2"/>
    <x v="127"/>
    <n v="4015"/>
    <x v="0"/>
    <x v="2"/>
    <x v="8"/>
    <x v="0"/>
    <x v="8"/>
    <n v="0"/>
    <x v="6"/>
    <x v="2"/>
    <s v="Jaipur"/>
  </r>
  <r>
    <n v="18091234"/>
    <s v="Lakshay Chand"/>
    <x v="2"/>
    <x v="142"/>
    <n v="9537"/>
    <x v="0"/>
    <x v="3"/>
    <x v="7"/>
    <x v="3"/>
    <x v="5"/>
    <n v="0"/>
    <x v="68"/>
    <x v="3"/>
    <s v="Kolkata"/>
  </r>
  <r>
    <n v="16459233"/>
    <s v="Anvi Saini"/>
    <x v="3"/>
    <x v="33"/>
    <n v="2155"/>
    <x v="0"/>
    <x v="4"/>
    <x v="5"/>
    <x v="3"/>
    <x v="2"/>
    <n v="1"/>
    <x v="58"/>
    <x v="2"/>
    <s v="Ahmedabad"/>
  </r>
  <r>
    <n v="62865553"/>
    <s v="Jayan Gaba"/>
    <x v="6"/>
    <x v="14"/>
    <n v="5785"/>
    <x v="0"/>
    <x v="1"/>
    <x v="8"/>
    <x v="0"/>
    <x v="0"/>
    <n v="0"/>
    <x v="39"/>
    <x v="2"/>
    <s v="Jaipur"/>
  </r>
  <r>
    <n v="42475828"/>
    <s v="Nishith Raja"/>
    <x v="0"/>
    <x v="214"/>
    <n v="5790"/>
    <x v="3"/>
    <x v="3"/>
    <x v="3"/>
    <x v="3"/>
    <x v="5"/>
    <n v="0"/>
    <x v="67"/>
    <x v="3"/>
    <s v="Kochi"/>
  </r>
  <r>
    <n v="71698739"/>
    <s v="Mehul Chaudry"/>
    <x v="7"/>
    <x v="182"/>
    <n v="2492"/>
    <x v="3"/>
    <x v="2"/>
    <x v="6"/>
    <x v="0"/>
    <x v="3"/>
    <n v="0"/>
    <x v="29"/>
    <x v="5"/>
    <s v="Ahmedabad"/>
  </r>
  <r>
    <n v="16091282"/>
    <s v="Jivin Kala"/>
    <x v="8"/>
    <x v="218"/>
    <n v="24182"/>
    <x v="1"/>
    <x v="0"/>
    <x v="9"/>
    <x v="1"/>
    <x v="7"/>
    <n v="1"/>
    <x v="4"/>
    <x v="2"/>
    <s v="Bangalore"/>
  </r>
  <r>
    <n v="48600452"/>
    <s v="Yashvi Doctor"/>
    <x v="2"/>
    <x v="253"/>
    <n v="11776"/>
    <x v="1"/>
    <x v="1"/>
    <x v="5"/>
    <x v="3"/>
    <x v="3"/>
    <n v="0"/>
    <x v="27"/>
    <x v="1"/>
    <s v="Chennai"/>
  </r>
  <r>
    <n v="37274744"/>
    <s v="Ira Rama"/>
    <x v="9"/>
    <x v="275"/>
    <n v="22400"/>
    <x v="2"/>
    <x v="0"/>
    <x v="0"/>
    <x v="1"/>
    <x v="3"/>
    <n v="0"/>
    <x v="82"/>
    <x v="4"/>
    <s v="Bangalore"/>
  </r>
  <r>
    <n v="87624261"/>
    <s v="Navya Sachdev"/>
    <x v="1"/>
    <x v="210"/>
    <n v="14628"/>
    <x v="1"/>
    <x v="0"/>
    <x v="9"/>
    <x v="3"/>
    <x v="0"/>
    <n v="1"/>
    <x v="9"/>
    <x v="0"/>
    <s v="Ahmedabad"/>
  </r>
  <r>
    <n v="25388475"/>
    <s v="Saira Sangha"/>
    <x v="4"/>
    <x v="67"/>
    <n v="11477"/>
    <x v="0"/>
    <x v="3"/>
    <x v="9"/>
    <x v="1"/>
    <x v="3"/>
    <n v="1"/>
    <x v="5"/>
    <x v="1"/>
    <s v="Mumbai"/>
  </r>
  <r>
    <n v="15366028"/>
    <s v="Vedika Rajagopal"/>
    <x v="5"/>
    <x v="177"/>
    <n v="16211"/>
    <x v="1"/>
    <x v="4"/>
    <x v="7"/>
    <x v="1"/>
    <x v="5"/>
    <n v="0"/>
    <x v="51"/>
    <x v="4"/>
    <s v="Bangalore"/>
  </r>
  <r>
    <n v="15442058"/>
    <s v="Anahi Bassi"/>
    <x v="1"/>
    <x v="20"/>
    <n v="16284"/>
    <x v="1"/>
    <x v="4"/>
    <x v="5"/>
    <x v="2"/>
    <x v="5"/>
    <n v="1"/>
    <x v="3"/>
    <x v="2"/>
    <s v="Kolkata"/>
  </r>
  <r>
    <n v="63324179"/>
    <s v="Vanya Mannan"/>
    <x v="3"/>
    <x v="127"/>
    <n v="22853"/>
    <x v="1"/>
    <x v="3"/>
    <x v="0"/>
    <x v="2"/>
    <x v="3"/>
    <n v="0"/>
    <x v="60"/>
    <x v="3"/>
    <s v="Hyderabad"/>
  </r>
  <r>
    <n v="35677748"/>
    <s v="Sana Raval"/>
    <x v="6"/>
    <x v="265"/>
    <n v="12120"/>
    <x v="1"/>
    <x v="0"/>
    <x v="0"/>
    <x v="0"/>
    <x v="2"/>
    <n v="0"/>
    <x v="12"/>
    <x v="1"/>
    <s v="Bangalore"/>
  </r>
  <r>
    <n v="59741871"/>
    <s v="Tara Kalita"/>
    <x v="9"/>
    <x v="276"/>
    <n v="20040"/>
    <x v="1"/>
    <x v="1"/>
    <x v="5"/>
    <x v="0"/>
    <x v="5"/>
    <n v="1"/>
    <x v="73"/>
    <x v="5"/>
    <s v="Bangalore"/>
  </r>
  <r>
    <n v="48592936"/>
    <s v="Hrishita Rau"/>
    <x v="6"/>
    <x v="189"/>
    <n v="13221"/>
    <x v="2"/>
    <x v="0"/>
    <x v="1"/>
    <x v="1"/>
    <x v="6"/>
    <n v="0"/>
    <x v="7"/>
    <x v="3"/>
    <s v="Bangalore"/>
  </r>
  <r>
    <n v="45743671"/>
    <s v="Divit Saran"/>
    <x v="8"/>
    <x v="82"/>
    <n v="141"/>
    <x v="2"/>
    <x v="2"/>
    <x v="1"/>
    <x v="2"/>
    <x v="6"/>
    <n v="0"/>
    <x v="0"/>
    <x v="0"/>
    <s v="Bangalore"/>
  </r>
  <r>
    <n v="77505119"/>
    <s v="Badal Kota"/>
    <x v="5"/>
    <x v="148"/>
    <n v="17006"/>
    <x v="1"/>
    <x v="4"/>
    <x v="5"/>
    <x v="3"/>
    <x v="6"/>
    <n v="1"/>
    <x v="64"/>
    <x v="3"/>
    <s v="Chennai"/>
  </r>
  <r>
    <n v="55635877"/>
    <s v="Umang Banerjee"/>
    <x v="7"/>
    <x v="153"/>
    <n v="17949"/>
    <x v="1"/>
    <x v="2"/>
    <x v="7"/>
    <x v="3"/>
    <x v="0"/>
    <n v="1"/>
    <x v="81"/>
    <x v="0"/>
    <s v="Kochi"/>
  </r>
  <r>
    <n v="74059555"/>
    <s v="Vardaniya Ramesh"/>
    <x v="9"/>
    <x v="277"/>
    <n v="15776"/>
    <x v="1"/>
    <x v="3"/>
    <x v="3"/>
    <x v="2"/>
    <x v="4"/>
    <n v="0"/>
    <x v="43"/>
    <x v="3"/>
    <s v="Jaipur"/>
  </r>
  <r>
    <n v="58911466"/>
    <s v="Suhana Chaudhary"/>
    <x v="5"/>
    <x v="278"/>
    <n v="12769"/>
    <x v="0"/>
    <x v="4"/>
    <x v="4"/>
    <x v="0"/>
    <x v="1"/>
    <n v="0"/>
    <x v="4"/>
    <x v="5"/>
    <s v="Lucknow"/>
  </r>
  <r>
    <n v="77009034"/>
    <s v="Ritvik Madan"/>
    <x v="8"/>
    <x v="47"/>
    <n v="12342"/>
    <x v="1"/>
    <x v="4"/>
    <x v="4"/>
    <x v="0"/>
    <x v="8"/>
    <n v="0"/>
    <x v="1"/>
    <x v="5"/>
    <s v="Chennai"/>
  </r>
  <r>
    <n v="86898101"/>
    <s v="Taran Kibe"/>
    <x v="9"/>
    <x v="114"/>
    <n v="23173"/>
    <x v="1"/>
    <x v="1"/>
    <x v="5"/>
    <x v="2"/>
    <x v="0"/>
    <n v="0"/>
    <x v="72"/>
    <x v="0"/>
    <s v="Hyderabad"/>
  </r>
  <r>
    <n v="74199081"/>
    <s v="Suhana Sani"/>
    <x v="7"/>
    <x v="125"/>
    <n v="7603"/>
    <x v="1"/>
    <x v="3"/>
    <x v="4"/>
    <x v="2"/>
    <x v="5"/>
    <n v="0"/>
    <x v="26"/>
    <x v="1"/>
    <s v="Mumbai"/>
  </r>
  <r>
    <n v="35242722"/>
    <s v="Arnav Shan"/>
    <x v="6"/>
    <x v="235"/>
    <n v="4969"/>
    <x v="1"/>
    <x v="2"/>
    <x v="8"/>
    <x v="3"/>
    <x v="0"/>
    <n v="0"/>
    <x v="63"/>
    <x v="3"/>
    <s v="Kolkata"/>
  </r>
  <r>
    <n v="43279531"/>
    <s v="Biju Issac"/>
    <x v="7"/>
    <x v="43"/>
    <n v="1348"/>
    <x v="0"/>
    <x v="3"/>
    <x v="3"/>
    <x v="3"/>
    <x v="5"/>
    <n v="0"/>
    <x v="0"/>
    <x v="4"/>
    <s v="Jaipur"/>
  </r>
  <r>
    <n v="84876085"/>
    <s v="Sahil Agrawal"/>
    <x v="1"/>
    <x v="29"/>
    <n v="16340"/>
    <x v="0"/>
    <x v="1"/>
    <x v="0"/>
    <x v="2"/>
    <x v="1"/>
    <n v="1"/>
    <x v="73"/>
    <x v="0"/>
    <s v="Mumbai"/>
  </r>
  <r>
    <n v="69231583"/>
    <s v="Shamik Anand"/>
    <x v="2"/>
    <x v="120"/>
    <n v="22470"/>
    <x v="1"/>
    <x v="3"/>
    <x v="0"/>
    <x v="1"/>
    <x v="0"/>
    <n v="0"/>
    <x v="79"/>
    <x v="1"/>
    <s v="Kolkata"/>
  </r>
  <r>
    <n v="29686776"/>
    <s v="Fateh Mannan"/>
    <x v="1"/>
    <x v="237"/>
    <n v="1513"/>
    <x v="1"/>
    <x v="1"/>
    <x v="9"/>
    <x v="3"/>
    <x v="8"/>
    <n v="0"/>
    <x v="72"/>
    <x v="1"/>
    <s v="Hyderabad"/>
  </r>
  <r>
    <n v="76081790"/>
    <s v="Bhavin Lala"/>
    <x v="4"/>
    <x v="31"/>
    <n v="2673"/>
    <x v="1"/>
    <x v="2"/>
    <x v="2"/>
    <x v="2"/>
    <x v="5"/>
    <n v="0"/>
    <x v="49"/>
    <x v="2"/>
    <s v="Mumbai"/>
  </r>
  <r>
    <n v="21787913"/>
    <s v="Tushar Divan"/>
    <x v="7"/>
    <x v="279"/>
    <n v="15436"/>
    <x v="2"/>
    <x v="2"/>
    <x v="6"/>
    <x v="1"/>
    <x v="2"/>
    <n v="1"/>
    <x v="17"/>
    <x v="5"/>
    <s v="Ahmedabad"/>
  </r>
  <r>
    <n v="14905993"/>
    <s v="Shamik Kalla"/>
    <x v="8"/>
    <x v="257"/>
    <n v="11291"/>
    <x v="3"/>
    <x v="4"/>
    <x v="4"/>
    <x v="3"/>
    <x v="4"/>
    <n v="0"/>
    <x v="52"/>
    <x v="0"/>
    <s v="Kochi"/>
  </r>
  <r>
    <n v="19105201"/>
    <s v="Mannat Sane"/>
    <x v="7"/>
    <x v="65"/>
    <n v="23695"/>
    <x v="3"/>
    <x v="3"/>
    <x v="5"/>
    <x v="2"/>
    <x v="7"/>
    <n v="0"/>
    <x v="25"/>
    <x v="0"/>
    <s v="Delhi"/>
  </r>
  <r>
    <n v="90481613"/>
    <s v="Kartik Swaminathan"/>
    <x v="1"/>
    <x v="68"/>
    <n v="15964"/>
    <x v="3"/>
    <x v="0"/>
    <x v="4"/>
    <x v="0"/>
    <x v="4"/>
    <n v="0"/>
    <x v="13"/>
    <x v="2"/>
    <s v="Delhi"/>
  </r>
  <r>
    <n v="63054702"/>
    <s v="Parinaaz Deshmukh"/>
    <x v="9"/>
    <x v="280"/>
    <n v="11046"/>
    <x v="1"/>
    <x v="3"/>
    <x v="5"/>
    <x v="2"/>
    <x v="8"/>
    <n v="0"/>
    <x v="26"/>
    <x v="5"/>
    <s v="Kochi"/>
  </r>
  <r>
    <n v="90598645"/>
    <s v="Priyansh Kannan"/>
    <x v="0"/>
    <x v="234"/>
    <n v="15846"/>
    <x v="1"/>
    <x v="0"/>
    <x v="5"/>
    <x v="1"/>
    <x v="4"/>
    <n v="0"/>
    <x v="26"/>
    <x v="1"/>
    <s v="Jaipur"/>
  </r>
  <r>
    <n v="98331068"/>
    <s v="Kanav Bains"/>
    <x v="2"/>
    <x v="173"/>
    <n v="2213"/>
    <x v="3"/>
    <x v="3"/>
    <x v="5"/>
    <x v="2"/>
    <x v="6"/>
    <n v="0"/>
    <x v="69"/>
    <x v="0"/>
    <s v="Lucknow"/>
  </r>
  <r>
    <n v="81033711"/>
    <s v="Kabir Anand"/>
    <x v="1"/>
    <x v="281"/>
    <n v="18755"/>
    <x v="1"/>
    <x v="4"/>
    <x v="2"/>
    <x v="2"/>
    <x v="0"/>
    <n v="1"/>
    <x v="39"/>
    <x v="5"/>
    <s v="Kochi"/>
  </r>
  <r>
    <n v="95619580"/>
    <s v="Vaibhav Chaudhuri"/>
    <x v="0"/>
    <x v="81"/>
    <n v="18343"/>
    <x v="2"/>
    <x v="2"/>
    <x v="9"/>
    <x v="1"/>
    <x v="0"/>
    <n v="0"/>
    <x v="43"/>
    <x v="2"/>
    <s v="Lucknow"/>
  </r>
  <r>
    <n v="38037043"/>
    <s v="Aarush Dey"/>
    <x v="2"/>
    <x v="44"/>
    <n v="6872"/>
    <x v="1"/>
    <x v="3"/>
    <x v="2"/>
    <x v="2"/>
    <x v="6"/>
    <n v="1"/>
    <x v="27"/>
    <x v="2"/>
    <s v="Chennai"/>
  </r>
  <r>
    <n v="58944099"/>
    <s v="Charvi Bhalla"/>
    <x v="5"/>
    <x v="151"/>
    <n v="9995"/>
    <x v="3"/>
    <x v="2"/>
    <x v="1"/>
    <x v="2"/>
    <x v="5"/>
    <n v="0"/>
    <x v="0"/>
    <x v="2"/>
    <s v="Jaipur"/>
  </r>
  <r>
    <n v="86449237"/>
    <s v="Saksham Kala"/>
    <x v="6"/>
    <x v="277"/>
    <n v="14151"/>
    <x v="0"/>
    <x v="4"/>
    <x v="9"/>
    <x v="3"/>
    <x v="7"/>
    <n v="1"/>
    <x v="45"/>
    <x v="3"/>
    <s v="Lucknow"/>
  </r>
  <r>
    <n v="14555964"/>
    <s v="Pranay Chowdhury"/>
    <x v="8"/>
    <x v="282"/>
    <n v="23700"/>
    <x v="2"/>
    <x v="0"/>
    <x v="8"/>
    <x v="1"/>
    <x v="3"/>
    <n v="0"/>
    <x v="8"/>
    <x v="0"/>
    <s v="Jaipur"/>
  </r>
  <r>
    <n v="82762674"/>
    <s v="Chirag Majumdar"/>
    <x v="7"/>
    <x v="283"/>
    <n v="5273"/>
    <x v="0"/>
    <x v="0"/>
    <x v="7"/>
    <x v="2"/>
    <x v="3"/>
    <n v="1"/>
    <x v="43"/>
    <x v="3"/>
    <s v="Chennai"/>
  </r>
  <r>
    <n v="14067224"/>
    <s v="Purab Bora"/>
    <x v="1"/>
    <x v="93"/>
    <n v="14572"/>
    <x v="3"/>
    <x v="4"/>
    <x v="1"/>
    <x v="1"/>
    <x v="3"/>
    <n v="0"/>
    <x v="24"/>
    <x v="0"/>
    <s v="Lucknow"/>
  </r>
  <r>
    <n v="62814476"/>
    <s v="Kashvi Hegde"/>
    <x v="2"/>
    <x v="27"/>
    <n v="7532"/>
    <x v="1"/>
    <x v="3"/>
    <x v="7"/>
    <x v="2"/>
    <x v="6"/>
    <n v="1"/>
    <x v="7"/>
    <x v="1"/>
    <s v="Jaipur"/>
  </r>
  <r>
    <n v="59683408"/>
    <s v="Stuvan Viswanathan"/>
    <x v="4"/>
    <x v="228"/>
    <n v="531"/>
    <x v="1"/>
    <x v="4"/>
    <x v="0"/>
    <x v="1"/>
    <x v="6"/>
    <n v="0"/>
    <x v="59"/>
    <x v="0"/>
    <s v="Bangalore"/>
  </r>
  <r>
    <n v="54062470"/>
    <s v="Kismat Dubey"/>
    <x v="5"/>
    <x v="64"/>
    <n v="12992"/>
    <x v="3"/>
    <x v="0"/>
    <x v="8"/>
    <x v="3"/>
    <x v="1"/>
    <n v="0"/>
    <x v="59"/>
    <x v="1"/>
    <s v="Bangalore"/>
  </r>
  <r>
    <n v="33428261"/>
    <s v="Raunak Sridhar"/>
    <x v="2"/>
    <x v="70"/>
    <n v="18548"/>
    <x v="1"/>
    <x v="0"/>
    <x v="8"/>
    <x v="1"/>
    <x v="7"/>
    <n v="0"/>
    <x v="83"/>
    <x v="4"/>
    <s v="Kochi"/>
  </r>
  <r>
    <n v="15839257"/>
    <s v="Onkar Gera"/>
    <x v="2"/>
    <x v="134"/>
    <n v="3692"/>
    <x v="0"/>
    <x v="3"/>
    <x v="9"/>
    <x v="3"/>
    <x v="8"/>
    <n v="0"/>
    <x v="60"/>
    <x v="1"/>
    <s v="Jaipur"/>
  </r>
  <r>
    <n v="19550178"/>
    <s v="Oorja Khanna"/>
    <x v="1"/>
    <x v="247"/>
    <n v="4134"/>
    <x v="0"/>
    <x v="3"/>
    <x v="9"/>
    <x v="2"/>
    <x v="2"/>
    <n v="0"/>
    <x v="2"/>
    <x v="0"/>
    <s v="Kolkata"/>
  </r>
  <r>
    <n v="54727070"/>
    <s v="Vivaan Rege"/>
    <x v="7"/>
    <x v="219"/>
    <n v="4935"/>
    <x v="2"/>
    <x v="3"/>
    <x v="1"/>
    <x v="1"/>
    <x v="6"/>
    <n v="0"/>
    <x v="39"/>
    <x v="4"/>
    <s v="Bangalore"/>
  </r>
  <r>
    <n v="11890055"/>
    <s v="Umang Dayal"/>
    <x v="6"/>
    <x v="284"/>
    <n v="17093"/>
    <x v="3"/>
    <x v="0"/>
    <x v="2"/>
    <x v="3"/>
    <x v="7"/>
    <n v="0"/>
    <x v="32"/>
    <x v="0"/>
    <s v="Kochi"/>
  </r>
  <r>
    <n v="24122962"/>
    <s v="Rohan Ghose"/>
    <x v="2"/>
    <x v="58"/>
    <n v="7208"/>
    <x v="1"/>
    <x v="1"/>
    <x v="9"/>
    <x v="2"/>
    <x v="7"/>
    <n v="0"/>
    <x v="63"/>
    <x v="2"/>
    <s v="Kochi"/>
  </r>
  <r>
    <n v="17341608"/>
    <s v="Anay Butala"/>
    <x v="3"/>
    <x v="149"/>
    <n v="11235"/>
    <x v="2"/>
    <x v="1"/>
    <x v="8"/>
    <x v="1"/>
    <x v="3"/>
    <n v="0"/>
    <x v="29"/>
    <x v="1"/>
    <s v="Hyderabad"/>
  </r>
  <r>
    <n v="48659992"/>
    <s v="Riaan Bora"/>
    <x v="4"/>
    <x v="285"/>
    <n v="23968"/>
    <x v="1"/>
    <x v="4"/>
    <x v="3"/>
    <x v="1"/>
    <x v="1"/>
    <n v="0"/>
    <x v="11"/>
    <x v="2"/>
    <s v="Lucknow"/>
  </r>
  <r>
    <n v="82163090"/>
    <s v="Faiyaz Goda"/>
    <x v="2"/>
    <x v="251"/>
    <n v="19838"/>
    <x v="1"/>
    <x v="2"/>
    <x v="3"/>
    <x v="3"/>
    <x v="4"/>
    <n v="1"/>
    <x v="58"/>
    <x v="3"/>
    <s v="Ahmedabad"/>
  </r>
  <r>
    <n v="96185806"/>
    <s v="Dharmajan Tandon"/>
    <x v="6"/>
    <x v="202"/>
    <n v="4165"/>
    <x v="3"/>
    <x v="2"/>
    <x v="3"/>
    <x v="2"/>
    <x v="2"/>
    <n v="1"/>
    <x v="55"/>
    <x v="5"/>
    <s v="Lucknow"/>
  </r>
  <r>
    <n v="27163175"/>
    <s v="Ryan Rastogi"/>
    <x v="3"/>
    <x v="56"/>
    <n v="19523"/>
    <x v="3"/>
    <x v="4"/>
    <x v="6"/>
    <x v="1"/>
    <x v="4"/>
    <n v="1"/>
    <x v="25"/>
    <x v="2"/>
    <s v="Mumbai"/>
  </r>
  <r>
    <n v="25986512"/>
    <s v="Jayesh Dugar"/>
    <x v="9"/>
    <x v="283"/>
    <n v="8782"/>
    <x v="1"/>
    <x v="0"/>
    <x v="5"/>
    <x v="2"/>
    <x v="5"/>
    <n v="1"/>
    <x v="36"/>
    <x v="1"/>
    <s v="Bangalore"/>
  </r>
  <r>
    <n v="68829275"/>
    <s v="Alia Sinha"/>
    <x v="2"/>
    <x v="286"/>
    <n v="13928"/>
    <x v="1"/>
    <x v="0"/>
    <x v="0"/>
    <x v="0"/>
    <x v="6"/>
    <n v="1"/>
    <x v="31"/>
    <x v="5"/>
    <s v="Lucknow"/>
  </r>
  <r>
    <n v="31569645"/>
    <s v="Anika Datta"/>
    <x v="5"/>
    <x v="20"/>
    <n v="10383"/>
    <x v="0"/>
    <x v="1"/>
    <x v="5"/>
    <x v="0"/>
    <x v="2"/>
    <n v="0"/>
    <x v="26"/>
    <x v="0"/>
    <s v="Chennai"/>
  </r>
  <r>
    <n v="13646961"/>
    <s v="Vivaan Baria"/>
    <x v="3"/>
    <x v="155"/>
    <n v="6759"/>
    <x v="1"/>
    <x v="0"/>
    <x v="2"/>
    <x v="2"/>
    <x v="5"/>
    <n v="0"/>
    <x v="53"/>
    <x v="1"/>
    <s v="Hyderabad"/>
  </r>
  <r>
    <n v="36775224"/>
    <s v="Shamik Banik"/>
    <x v="0"/>
    <x v="127"/>
    <n v="23692"/>
    <x v="1"/>
    <x v="0"/>
    <x v="7"/>
    <x v="2"/>
    <x v="1"/>
    <n v="1"/>
    <x v="20"/>
    <x v="3"/>
    <s v="Kochi"/>
  </r>
  <r>
    <n v="92955006"/>
    <s v="Vardaniya Bava"/>
    <x v="8"/>
    <x v="112"/>
    <n v="21502"/>
    <x v="1"/>
    <x v="3"/>
    <x v="4"/>
    <x v="0"/>
    <x v="6"/>
    <n v="0"/>
    <x v="4"/>
    <x v="4"/>
    <s v="Ahmedabad"/>
  </r>
  <r>
    <n v="77634603"/>
    <s v="Vritika Rajagopal"/>
    <x v="0"/>
    <x v="10"/>
    <n v="10434"/>
    <x v="1"/>
    <x v="0"/>
    <x v="2"/>
    <x v="2"/>
    <x v="4"/>
    <n v="0"/>
    <x v="56"/>
    <x v="3"/>
    <s v="Chennai"/>
  </r>
  <r>
    <n v="12355936"/>
    <s v="Vidur Shanker"/>
    <x v="6"/>
    <x v="194"/>
    <n v="5637"/>
    <x v="2"/>
    <x v="4"/>
    <x v="1"/>
    <x v="2"/>
    <x v="1"/>
    <n v="0"/>
    <x v="21"/>
    <x v="4"/>
    <s v="Mumbai"/>
  </r>
  <r>
    <n v="66384410"/>
    <s v="Rati Sahota"/>
    <x v="7"/>
    <x v="91"/>
    <n v="318"/>
    <x v="3"/>
    <x v="0"/>
    <x v="7"/>
    <x v="1"/>
    <x v="0"/>
    <n v="0"/>
    <x v="78"/>
    <x v="4"/>
    <s v="Jaipur"/>
  </r>
  <r>
    <n v="86824273"/>
    <s v="Anahi Basu"/>
    <x v="7"/>
    <x v="52"/>
    <n v="6301"/>
    <x v="3"/>
    <x v="1"/>
    <x v="1"/>
    <x v="2"/>
    <x v="6"/>
    <n v="0"/>
    <x v="44"/>
    <x v="3"/>
    <s v="Lucknow"/>
  </r>
  <r>
    <n v="10953387"/>
    <s v="Mishti Subramanian"/>
    <x v="9"/>
    <x v="287"/>
    <n v="4958"/>
    <x v="1"/>
    <x v="0"/>
    <x v="0"/>
    <x v="0"/>
    <x v="8"/>
    <n v="1"/>
    <x v="75"/>
    <x v="1"/>
    <s v="Lucknow"/>
  </r>
  <r>
    <n v="34898433"/>
    <s v="Yakshit Sule"/>
    <x v="0"/>
    <x v="264"/>
    <n v="7135"/>
    <x v="0"/>
    <x v="2"/>
    <x v="0"/>
    <x v="3"/>
    <x v="8"/>
    <n v="1"/>
    <x v="41"/>
    <x v="0"/>
    <s v="Bangalore"/>
  </r>
  <r>
    <n v="33693698"/>
    <s v="Hazel Rau"/>
    <x v="8"/>
    <x v="288"/>
    <n v="6126"/>
    <x v="1"/>
    <x v="2"/>
    <x v="1"/>
    <x v="0"/>
    <x v="0"/>
    <n v="1"/>
    <x v="54"/>
    <x v="2"/>
    <s v="Ahmedabad"/>
  </r>
  <r>
    <n v="57786210"/>
    <s v="Yasmin Andra"/>
    <x v="9"/>
    <x v="51"/>
    <n v="23061"/>
    <x v="3"/>
    <x v="2"/>
    <x v="1"/>
    <x v="0"/>
    <x v="2"/>
    <n v="0"/>
    <x v="67"/>
    <x v="0"/>
    <s v="Bangalore"/>
  </r>
  <r>
    <n v="93278304"/>
    <s v="Yasmin Shankar"/>
    <x v="1"/>
    <x v="90"/>
    <n v="17676"/>
    <x v="0"/>
    <x v="0"/>
    <x v="8"/>
    <x v="0"/>
    <x v="6"/>
    <n v="0"/>
    <x v="78"/>
    <x v="1"/>
    <s v="Hyderabad"/>
  </r>
  <r>
    <n v="68007802"/>
    <s v="Damini Swamy"/>
    <x v="3"/>
    <x v="137"/>
    <n v="22515"/>
    <x v="1"/>
    <x v="1"/>
    <x v="5"/>
    <x v="0"/>
    <x v="6"/>
    <n v="0"/>
    <x v="40"/>
    <x v="1"/>
    <s v="Chennai"/>
  </r>
  <r>
    <n v="46373337"/>
    <s v="Kimaya Mane"/>
    <x v="5"/>
    <x v="279"/>
    <n v="1238"/>
    <x v="3"/>
    <x v="2"/>
    <x v="5"/>
    <x v="3"/>
    <x v="5"/>
    <n v="0"/>
    <x v="38"/>
    <x v="5"/>
    <s v="Jaipur"/>
  </r>
  <r>
    <n v="64437920"/>
    <s v="Manjari Bobal"/>
    <x v="1"/>
    <x v="125"/>
    <n v="24776"/>
    <x v="1"/>
    <x v="0"/>
    <x v="6"/>
    <x v="2"/>
    <x v="3"/>
    <n v="1"/>
    <x v="26"/>
    <x v="3"/>
    <s v="Bangalore"/>
  </r>
  <r>
    <n v="96541868"/>
    <s v="Yasmin Tiwari"/>
    <x v="8"/>
    <x v="289"/>
    <n v="5378"/>
    <x v="0"/>
    <x v="1"/>
    <x v="7"/>
    <x v="3"/>
    <x v="3"/>
    <n v="0"/>
    <x v="75"/>
    <x v="3"/>
    <s v="Lucknow"/>
  </r>
  <r>
    <n v="33074047"/>
    <s v="Anya Saraf"/>
    <x v="7"/>
    <x v="290"/>
    <n v="4441"/>
    <x v="0"/>
    <x v="4"/>
    <x v="2"/>
    <x v="1"/>
    <x v="5"/>
    <n v="0"/>
    <x v="69"/>
    <x v="4"/>
    <s v="Mumbai"/>
  </r>
  <r>
    <n v="23078924"/>
    <s v="Zain Ravel"/>
    <x v="1"/>
    <x v="15"/>
    <n v="973"/>
    <x v="1"/>
    <x v="3"/>
    <x v="8"/>
    <x v="1"/>
    <x v="0"/>
    <n v="1"/>
    <x v="44"/>
    <x v="4"/>
    <s v="Bangalore"/>
  </r>
  <r>
    <n v="13320343"/>
    <s v="Kanav Chada"/>
    <x v="6"/>
    <x v="204"/>
    <n v="20511"/>
    <x v="3"/>
    <x v="0"/>
    <x v="9"/>
    <x v="0"/>
    <x v="1"/>
    <n v="1"/>
    <x v="20"/>
    <x v="5"/>
    <s v="Ahmedabad"/>
  </r>
  <r>
    <n v="26015624"/>
    <s v="Tara Gara"/>
    <x v="1"/>
    <x v="255"/>
    <n v="20383"/>
    <x v="1"/>
    <x v="4"/>
    <x v="1"/>
    <x v="3"/>
    <x v="8"/>
    <n v="1"/>
    <x v="83"/>
    <x v="4"/>
    <s v="Kochi"/>
  </r>
  <r>
    <n v="16941618"/>
    <s v="Ahana  Balay"/>
    <x v="9"/>
    <x v="50"/>
    <n v="3230"/>
    <x v="0"/>
    <x v="1"/>
    <x v="5"/>
    <x v="2"/>
    <x v="4"/>
    <n v="1"/>
    <x v="62"/>
    <x v="0"/>
    <s v="Hyderabad"/>
  </r>
  <r>
    <n v="48985230"/>
    <s v="Vivaan Vasa"/>
    <x v="3"/>
    <x v="280"/>
    <n v="11329"/>
    <x v="0"/>
    <x v="3"/>
    <x v="2"/>
    <x v="0"/>
    <x v="4"/>
    <n v="1"/>
    <x v="82"/>
    <x v="0"/>
    <s v="Kochi"/>
  </r>
  <r>
    <n v="40208479"/>
    <s v="Fateh Ravel"/>
    <x v="3"/>
    <x v="126"/>
    <n v="8873"/>
    <x v="1"/>
    <x v="0"/>
    <x v="1"/>
    <x v="1"/>
    <x v="6"/>
    <n v="0"/>
    <x v="68"/>
    <x v="0"/>
    <s v="Kolkata"/>
  </r>
  <r>
    <n v="97672761"/>
    <s v="Kaira Gara"/>
    <x v="5"/>
    <x v="266"/>
    <n v="7138"/>
    <x v="2"/>
    <x v="4"/>
    <x v="3"/>
    <x v="0"/>
    <x v="4"/>
    <n v="1"/>
    <x v="77"/>
    <x v="3"/>
    <s v="Lucknow"/>
  </r>
  <r>
    <n v="67393558"/>
    <s v="Amani Sunder"/>
    <x v="8"/>
    <x v="285"/>
    <n v="23647"/>
    <x v="2"/>
    <x v="0"/>
    <x v="1"/>
    <x v="0"/>
    <x v="5"/>
    <n v="1"/>
    <x v="8"/>
    <x v="2"/>
    <s v="Mumbai"/>
  </r>
  <r>
    <n v="70673414"/>
    <s v="Ivan Ganesan"/>
    <x v="9"/>
    <x v="110"/>
    <n v="5010"/>
    <x v="0"/>
    <x v="0"/>
    <x v="5"/>
    <x v="2"/>
    <x v="5"/>
    <n v="1"/>
    <x v="19"/>
    <x v="3"/>
    <s v="Ahmedabad"/>
  </r>
  <r>
    <n v="53907774"/>
    <s v="Zain Dave"/>
    <x v="2"/>
    <x v="291"/>
    <n v="19565"/>
    <x v="0"/>
    <x v="4"/>
    <x v="2"/>
    <x v="2"/>
    <x v="2"/>
    <n v="1"/>
    <x v="13"/>
    <x v="2"/>
    <s v="Lucknow"/>
  </r>
  <r>
    <n v="25618585"/>
    <s v="Kashvi Jani"/>
    <x v="2"/>
    <x v="191"/>
    <n v="15194"/>
    <x v="3"/>
    <x v="2"/>
    <x v="5"/>
    <x v="3"/>
    <x v="5"/>
    <n v="0"/>
    <x v="24"/>
    <x v="4"/>
    <s v="Jaipur"/>
  </r>
  <r>
    <n v="49952714"/>
    <s v="Stuvan Thaman"/>
    <x v="3"/>
    <x v="46"/>
    <n v="21367"/>
    <x v="3"/>
    <x v="4"/>
    <x v="5"/>
    <x v="3"/>
    <x v="0"/>
    <n v="0"/>
    <x v="70"/>
    <x v="4"/>
    <s v="Kolkata"/>
  </r>
  <r>
    <n v="21455564"/>
    <s v="Uthkarsh Trivedi"/>
    <x v="3"/>
    <x v="18"/>
    <n v="11290"/>
    <x v="0"/>
    <x v="0"/>
    <x v="7"/>
    <x v="2"/>
    <x v="0"/>
    <n v="1"/>
    <x v="62"/>
    <x v="4"/>
    <s v="Lucknow"/>
  </r>
  <r>
    <n v="90378470"/>
    <s v="Samar Iyengar"/>
    <x v="2"/>
    <x v="247"/>
    <n v="4686"/>
    <x v="1"/>
    <x v="1"/>
    <x v="2"/>
    <x v="2"/>
    <x v="7"/>
    <n v="0"/>
    <x v="61"/>
    <x v="2"/>
    <s v="Mumbai"/>
  </r>
  <r>
    <n v="97093402"/>
    <s v="Azad Dara"/>
    <x v="4"/>
    <x v="177"/>
    <n v="14448"/>
    <x v="1"/>
    <x v="0"/>
    <x v="8"/>
    <x v="3"/>
    <x v="6"/>
    <n v="1"/>
    <x v="15"/>
    <x v="4"/>
    <s v="Hyderabad"/>
  </r>
  <r>
    <n v="57433363"/>
    <s v="Ela Rajagopal"/>
    <x v="2"/>
    <x v="48"/>
    <n v="16059"/>
    <x v="0"/>
    <x v="2"/>
    <x v="2"/>
    <x v="1"/>
    <x v="1"/>
    <n v="0"/>
    <x v="82"/>
    <x v="3"/>
    <s v="Delhi"/>
  </r>
  <r>
    <n v="47216748"/>
    <s v="Riaan Randhawa"/>
    <x v="7"/>
    <x v="31"/>
    <n v="551"/>
    <x v="1"/>
    <x v="2"/>
    <x v="4"/>
    <x v="0"/>
    <x v="6"/>
    <n v="1"/>
    <x v="48"/>
    <x v="0"/>
    <s v="Chennai"/>
  </r>
  <r>
    <n v="25234983"/>
    <s v="Kashvi Shenoy"/>
    <x v="3"/>
    <x v="292"/>
    <n v="24759"/>
    <x v="2"/>
    <x v="3"/>
    <x v="2"/>
    <x v="1"/>
    <x v="2"/>
    <n v="1"/>
    <x v="67"/>
    <x v="4"/>
    <s v="Kochi"/>
  </r>
  <r>
    <n v="79606426"/>
    <s v="Myra Walla"/>
    <x v="4"/>
    <x v="1"/>
    <n v="1650"/>
    <x v="2"/>
    <x v="3"/>
    <x v="7"/>
    <x v="0"/>
    <x v="0"/>
    <n v="0"/>
    <x v="25"/>
    <x v="2"/>
    <s v="Bangalore"/>
  </r>
  <r>
    <n v="69953765"/>
    <s v="Divit Jha"/>
    <x v="4"/>
    <x v="200"/>
    <n v="15953"/>
    <x v="1"/>
    <x v="4"/>
    <x v="5"/>
    <x v="0"/>
    <x v="0"/>
    <n v="1"/>
    <x v="78"/>
    <x v="1"/>
    <s v="Bangalore"/>
  </r>
  <r>
    <n v="74724626"/>
    <s v="Jivika Gala"/>
    <x v="5"/>
    <x v="106"/>
    <n v="2850"/>
    <x v="0"/>
    <x v="2"/>
    <x v="9"/>
    <x v="2"/>
    <x v="5"/>
    <n v="0"/>
    <x v="64"/>
    <x v="1"/>
    <s v="Mumbai"/>
  </r>
  <r>
    <n v="23320415"/>
    <s v="Tara Kar"/>
    <x v="8"/>
    <x v="199"/>
    <n v="2034"/>
    <x v="1"/>
    <x v="2"/>
    <x v="6"/>
    <x v="3"/>
    <x v="5"/>
    <n v="0"/>
    <x v="54"/>
    <x v="1"/>
    <s v="Kochi"/>
  </r>
  <r>
    <n v="28699276"/>
    <s v="Keya Bir"/>
    <x v="2"/>
    <x v="134"/>
    <n v="596"/>
    <x v="1"/>
    <x v="3"/>
    <x v="6"/>
    <x v="3"/>
    <x v="7"/>
    <n v="0"/>
    <x v="62"/>
    <x v="5"/>
    <s v="Chennai"/>
  </r>
  <r>
    <n v="63738281"/>
    <s v="Nishith Rau"/>
    <x v="4"/>
    <x v="293"/>
    <n v="24907"/>
    <x v="1"/>
    <x v="1"/>
    <x v="1"/>
    <x v="3"/>
    <x v="5"/>
    <n v="0"/>
    <x v="18"/>
    <x v="0"/>
    <s v="Chennai"/>
  </r>
  <r>
    <n v="96561824"/>
    <s v="Nishith Jayaraman"/>
    <x v="1"/>
    <x v="231"/>
    <n v="20890"/>
    <x v="3"/>
    <x v="3"/>
    <x v="7"/>
    <x v="1"/>
    <x v="6"/>
    <n v="1"/>
    <x v="60"/>
    <x v="4"/>
    <s v="Hyderabad"/>
  </r>
  <r>
    <n v="14652085"/>
    <s v="Zain Sharaf"/>
    <x v="2"/>
    <x v="294"/>
    <n v="1369"/>
    <x v="1"/>
    <x v="0"/>
    <x v="0"/>
    <x v="2"/>
    <x v="5"/>
    <n v="0"/>
    <x v="32"/>
    <x v="5"/>
    <s v="Bangalore"/>
  </r>
  <r>
    <n v="27327733"/>
    <s v="Diya Dey"/>
    <x v="2"/>
    <x v="72"/>
    <n v="21399"/>
    <x v="1"/>
    <x v="4"/>
    <x v="2"/>
    <x v="0"/>
    <x v="8"/>
    <n v="0"/>
    <x v="66"/>
    <x v="0"/>
    <s v="Delhi"/>
  </r>
  <r>
    <n v="39352122"/>
    <s v="Ahana  Savant"/>
    <x v="9"/>
    <x v="84"/>
    <n v="4073"/>
    <x v="1"/>
    <x v="0"/>
    <x v="0"/>
    <x v="0"/>
    <x v="3"/>
    <n v="0"/>
    <x v="53"/>
    <x v="5"/>
    <s v="Delhi"/>
  </r>
  <r>
    <n v="43384840"/>
    <s v="Uthkarsh Dayal"/>
    <x v="8"/>
    <x v="184"/>
    <n v="22618"/>
    <x v="3"/>
    <x v="3"/>
    <x v="3"/>
    <x v="3"/>
    <x v="3"/>
    <n v="0"/>
    <x v="61"/>
    <x v="0"/>
    <s v="Ahmedabad"/>
  </r>
  <r>
    <n v="42927918"/>
    <s v="Stuvan Dube"/>
    <x v="7"/>
    <x v="295"/>
    <n v="23364"/>
    <x v="1"/>
    <x v="3"/>
    <x v="5"/>
    <x v="1"/>
    <x v="4"/>
    <n v="1"/>
    <x v="18"/>
    <x v="5"/>
    <s v="Mumbai"/>
  </r>
  <r>
    <n v="14787756"/>
    <s v="Aradhya Gandhi"/>
    <x v="7"/>
    <x v="154"/>
    <n v="24084"/>
    <x v="3"/>
    <x v="4"/>
    <x v="7"/>
    <x v="1"/>
    <x v="4"/>
    <n v="1"/>
    <x v="85"/>
    <x v="5"/>
    <s v="Delhi"/>
  </r>
  <r>
    <n v="22305247"/>
    <s v="Nakul Savant"/>
    <x v="3"/>
    <x v="184"/>
    <n v="2419"/>
    <x v="0"/>
    <x v="4"/>
    <x v="6"/>
    <x v="2"/>
    <x v="5"/>
    <n v="1"/>
    <x v="17"/>
    <x v="4"/>
    <s v="Jaipur"/>
  </r>
  <r>
    <n v="36763224"/>
    <s v="Rania Basak"/>
    <x v="2"/>
    <x v="143"/>
    <n v="11117"/>
    <x v="3"/>
    <x v="1"/>
    <x v="9"/>
    <x v="0"/>
    <x v="2"/>
    <n v="0"/>
    <x v="82"/>
    <x v="4"/>
    <s v="Hyderabad"/>
  </r>
  <r>
    <n v="15825703"/>
    <s v="Yakshit Butala"/>
    <x v="5"/>
    <x v="76"/>
    <n v="14813"/>
    <x v="0"/>
    <x v="0"/>
    <x v="6"/>
    <x v="2"/>
    <x v="5"/>
    <n v="1"/>
    <x v="47"/>
    <x v="2"/>
    <s v="Kochi"/>
  </r>
  <r>
    <n v="15498019"/>
    <s v="Divij Master"/>
    <x v="9"/>
    <x v="18"/>
    <n v="4166"/>
    <x v="0"/>
    <x v="3"/>
    <x v="1"/>
    <x v="0"/>
    <x v="6"/>
    <n v="0"/>
    <x v="20"/>
    <x v="0"/>
    <s v="Kochi"/>
  </r>
  <r>
    <n v="70225559"/>
    <s v="Aayush Keer"/>
    <x v="9"/>
    <x v="96"/>
    <n v="3626"/>
    <x v="1"/>
    <x v="1"/>
    <x v="8"/>
    <x v="2"/>
    <x v="0"/>
    <n v="0"/>
    <x v="83"/>
    <x v="0"/>
    <s v="Hyderabad"/>
  </r>
  <r>
    <n v="41884523"/>
    <s v="Pari Mandal"/>
    <x v="0"/>
    <x v="296"/>
    <n v="8990"/>
    <x v="3"/>
    <x v="4"/>
    <x v="4"/>
    <x v="2"/>
    <x v="2"/>
    <n v="1"/>
    <x v="83"/>
    <x v="2"/>
    <s v="Lucknow"/>
  </r>
  <r>
    <n v="75584444"/>
    <s v="Kashvi Bera"/>
    <x v="9"/>
    <x v="210"/>
    <n v="23047"/>
    <x v="2"/>
    <x v="1"/>
    <x v="9"/>
    <x v="0"/>
    <x v="3"/>
    <n v="0"/>
    <x v="8"/>
    <x v="2"/>
    <s v="Mumbai"/>
  </r>
  <r>
    <n v="82591057"/>
    <s v="Mahika Karpe"/>
    <x v="3"/>
    <x v="64"/>
    <n v="12667"/>
    <x v="0"/>
    <x v="3"/>
    <x v="6"/>
    <x v="0"/>
    <x v="6"/>
    <n v="0"/>
    <x v="39"/>
    <x v="1"/>
    <s v="Ahmedabad"/>
  </r>
  <r>
    <n v="35333702"/>
    <s v="Nirvi Ravel"/>
    <x v="5"/>
    <x v="297"/>
    <n v="18736"/>
    <x v="2"/>
    <x v="2"/>
    <x v="9"/>
    <x v="3"/>
    <x v="0"/>
    <n v="0"/>
    <x v="64"/>
    <x v="3"/>
    <s v="Chennai"/>
  </r>
  <r>
    <n v="20677237"/>
    <s v="Khushi Kapur"/>
    <x v="5"/>
    <x v="105"/>
    <n v="7369"/>
    <x v="1"/>
    <x v="2"/>
    <x v="3"/>
    <x v="3"/>
    <x v="4"/>
    <n v="1"/>
    <x v="6"/>
    <x v="4"/>
    <s v="Chennai"/>
  </r>
  <r>
    <n v="74831665"/>
    <s v="Ela Bhandari"/>
    <x v="0"/>
    <x v="125"/>
    <n v="23640"/>
    <x v="0"/>
    <x v="1"/>
    <x v="4"/>
    <x v="3"/>
    <x v="4"/>
    <n v="0"/>
    <x v="37"/>
    <x v="2"/>
    <s v="Lucknow"/>
  </r>
  <r>
    <n v="64168334"/>
    <s v="Kaira Chahal"/>
    <x v="2"/>
    <x v="158"/>
    <n v="9640"/>
    <x v="0"/>
    <x v="3"/>
    <x v="1"/>
    <x v="1"/>
    <x v="5"/>
    <n v="1"/>
    <x v="16"/>
    <x v="5"/>
    <s v="Bangalore"/>
  </r>
  <r>
    <n v="37493871"/>
    <s v="Ishita Hegde"/>
    <x v="2"/>
    <x v="168"/>
    <n v="3816"/>
    <x v="1"/>
    <x v="4"/>
    <x v="9"/>
    <x v="2"/>
    <x v="3"/>
    <n v="0"/>
    <x v="80"/>
    <x v="2"/>
    <s v="Kochi"/>
  </r>
  <r>
    <n v="54838803"/>
    <s v="Shayak Sridhar"/>
    <x v="4"/>
    <x v="200"/>
    <n v="6736"/>
    <x v="1"/>
    <x v="1"/>
    <x v="4"/>
    <x v="1"/>
    <x v="3"/>
    <n v="0"/>
    <x v="59"/>
    <x v="1"/>
    <s v="Chennai"/>
  </r>
  <r>
    <n v="63675758"/>
    <s v="Mannat Banik"/>
    <x v="7"/>
    <x v="224"/>
    <n v="12284"/>
    <x v="3"/>
    <x v="1"/>
    <x v="3"/>
    <x v="0"/>
    <x v="0"/>
    <n v="0"/>
    <x v="46"/>
    <x v="4"/>
    <s v="Delhi"/>
  </r>
  <r>
    <n v="83013890"/>
    <s v="Divij Dubey"/>
    <x v="3"/>
    <x v="147"/>
    <n v="23062"/>
    <x v="2"/>
    <x v="2"/>
    <x v="7"/>
    <x v="3"/>
    <x v="0"/>
    <n v="0"/>
    <x v="18"/>
    <x v="5"/>
    <s v="Chennai"/>
  </r>
  <r>
    <n v="12901584"/>
    <s v="Rania Subramanian"/>
    <x v="4"/>
    <x v="298"/>
    <n v="8817"/>
    <x v="1"/>
    <x v="3"/>
    <x v="3"/>
    <x v="0"/>
    <x v="0"/>
    <n v="0"/>
    <x v="46"/>
    <x v="2"/>
    <s v="Kolkata"/>
  </r>
  <r>
    <n v="81236827"/>
    <s v="Nitara Rastogi"/>
    <x v="9"/>
    <x v="51"/>
    <n v="4217"/>
    <x v="1"/>
    <x v="1"/>
    <x v="0"/>
    <x v="2"/>
    <x v="5"/>
    <n v="0"/>
    <x v="23"/>
    <x v="2"/>
    <s v="Mumbai"/>
  </r>
  <r>
    <n v="76394894"/>
    <s v="Riaan Kala"/>
    <x v="4"/>
    <x v="109"/>
    <n v="685"/>
    <x v="3"/>
    <x v="4"/>
    <x v="8"/>
    <x v="2"/>
    <x v="3"/>
    <n v="1"/>
    <x v="0"/>
    <x v="3"/>
    <s v="Mumbai"/>
  </r>
  <r>
    <n v="22461051"/>
    <s v="Lagan Dara"/>
    <x v="2"/>
    <x v="186"/>
    <n v="6939"/>
    <x v="3"/>
    <x v="2"/>
    <x v="6"/>
    <x v="1"/>
    <x v="1"/>
    <n v="0"/>
    <x v="85"/>
    <x v="3"/>
    <s v="Jaipur"/>
  </r>
  <r>
    <n v="22255747"/>
    <s v="Dishani Suri"/>
    <x v="1"/>
    <x v="119"/>
    <n v="19029"/>
    <x v="0"/>
    <x v="0"/>
    <x v="5"/>
    <x v="2"/>
    <x v="6"/>
    <n v="0"/>
    <x v="39"/>
    <x v="0"/>
    <s v="Jaipur"/>
  </r>
  <r>
    <n v="45757297"/>
    <s v="Gokul Chakraborty"/>
    <x v="2"/>
    <x v="103"/>
    <n v="1814"/>
    <x v="0"/>
    <x v="4"/>
    <x v="9"/>
    <x v="0"/>
    <x v="2"/>
    <n v="0"/>
    <x v="36"/>
    <x v="0"/>
    <s v="Chennai"/>
  </r>
  <r>
    <n v="22906170"/>
    <s v="Samar Seshadri"/>
    <x v="6"/>
    <x v="69"/>
    <n v="12442"/>
    <x v="3"/>
    <x v="1"/>
    <x v="7"/>
    <x v="2"/>
    <x v="6"/>
    <n v="0"/>
    <x v="84"/>
    <x v="0"/>
    <s v="Kochi"/>
  </r>
  <r>
    <n v="38777044"/>
    <s v="Aarush Zacharia"/>
    <x v="3"/>
    <x v="104"/>
    <n v="4177"/>
    <x v="3"/>
    <x v="4"/>
    <x v="7"/>
    <x v="2"/>
    <x v="7"/>
    <n v="0"/>
    <x v="41"/>
    <x v="3"/>
    <s v="Kochi"/>
  </r>
  <r>
    <n v="18998879"/>
    <s v="Keya Srinivasan"/>
    <x v="7"/>
    <x v="299"/>
    <n v="7483"/>
    <x v="1"/>
    <x v="4"/>
    <x v="6"/>
    <x v="2"/>
    <x v="3"/>
    <n v="1"/>
    <x v="83"/>
    <x v="2"/>
    <s v="Mumbai"/>
  </r>
  <r>
    <n v="53870911"/>
    <s v="Jayant Badami"/>
    <x v="5"/>
    <x v="219"/>
    <n v="8738"/>
    <x v="0"/>
    <x v="3"/>
    <x v="0"/>
    <x v="2"/>
    <x v="6"/>
    <n v="0"/>
    <x v="6"/>
    <x v="5"/>
    <s v="Jaipur"/>
  </r>
  <r>
    <n v="88342477"/>
    <s v="Shalv Gola"/>
    <x v="3"/>
    <x v="295"/>
    <n v="13134"/>
    <x v="3"/>
    <x v="1"/>
    <x v="3"/>
    <x v="1"/>
    <x v="4"/>
    <n v="0"/>
    <x v="0"/>
    <x v="2"/>
    <s v="Delhi"/>
  </r>
  <r>
    <n v="34618820"/>
    <s v="Aradhya Borde"/>
    <x v="6"/>
    <x v="152"/>
    <n v="6254"/>
    <x v="0"/>
    <x v="0"/>
    <x v="6"/>
    <x v="1"/>
    <x v="4"/>
    <n v="0"/>
    <x v="64"/>
    <x v="5"/>
    <s v="Hyderabad"/>
  </r>
  <r>
    <n v="69235451"/>
    <s v="Aarav Chopra"/>
    <x v="0"/>
    <x v="273"/>
    <n v="1653"/>
    <x v="0"/>
    <x v="1"/>
    <x v="1"/>
    <x v="3"/>
    <x v="1"/>
    <n v="1"/>
    <x v="52"/>
    <x v="5"/>
    <s v="Mumbai"/>
  </r>
  <r>
    <n v="12034649"/>
    <s v="Heer Kota"/>
    <x v="6"/>
    <x v="67"/>
    <n v="4280"/>
    <x v="2"/>
    <x v="3"/>
    <x v="9"/>
    <x v="3"/>
    <x v="0"/>
    <n v="0"/>
    <x v="13"/>
    <x v="4"/>
    <s v="Bangalore"/>
  </r>
  <r>
    <n v="72762697"/>
    <s v="Devansh Sant"/>
    <x v="6"/>
    <x v="101"/>
    <n v="405"/>
    <x v="0"/>
    <x v="1"/>
    <x v="2"/>
    <x v="1"/>
    <x v="1"/>
    <n v="0"/>
    <x v="58"/>
    <x v="2"/>
    <s v="Kochi"/>
  </r>
  <r>
    <n v="22864133"/>
    <s v="Darshit Majumdar"/>
    <x v="2"/>
    <x v="101"/>
    <n v="5586"/>
    <x v="0"/>
    <x v="1"/>
    <x v="3"/>
    <x v="1"/>
    <x v="0"/>
    <n v="0"/>
    <x v="14"/>
    <x v="3"/>
    <s v="Bangalore"/>
  </r>
  <r>
    <n v="95769790"/>
    <s v="Nayantara Thaman"/>
    <x v="7"/>
    <x v="208"/>
    <n v="16737"/>
    <x v="1"/>
    <x v="1"/>
    <x v="7"/>
    <x v="3"/>
    <x v="0"/>
    <n v="0"/>
    <x v="33"/>
    <x v="4"/>
    <s v="Delhi"/>
  </r>
  <r>
    <n v="53323716"/>
    <s v="Dhanush Khosla"/>
    <x v="2"/>
    <x v="300"/>
    <n v="23056"/>
    <x v="1"/>
    <x v="3"/>
    <x v="8"/>
    <x v="2"/>
    <x v="7"/>
    <n v="0"/>
    <x v="46"/>
    <x v="0"/>
    <s v="Hyderabad"/>
  </r>
  <r>
    <n v="28718652"/>
    <s v="Nitara Thaker"/>
    <x v="6"/>
    <x v="17"/>
    <n v="12047"/>
    <x v="0"/>
    <x v="4"/>
    <x v="9"/>
    <x v="3"/>
    <x v="8"/>
    <n v="1"/>
    <x v="46"/>
    <x v="0"/>
    <s v="Kolkata"/>
  </r>
  <r>
    <n v="86847116"/>
    <s v="Nehmat Suresh"/>
    <x v="1"/>
    <x v="137"/>
    <n v="21345"/>
    <x v="3"/>
    <x v="1"/>
    <x v="7"/>
    <x v="1"/>
    <x v="1"/>
    <n v="0"/>
    <x v="82"/>
    <x v="0"/>
    <s v="Hyderabad"/>
  </r>
  <r>
    <n v="31915073"/>
    <s v="Eshani Bala"/>
    <x v="9"/>
    <x v="126"/>
    <n v="3902"/>
    <x v="0"/>
    <x v="0"/>
    <x v="8"/>
    <x v="3"/>
    <x v="2"/>
    <n v="0"/>
    <x v="48"/>
    <x v="1"/>
    <s v="Bangalore"/>
  </r>
  <r>
    <n v="70426182"/>
    <s v="Seher Karnik"/>
    <x v="7"/>
    <x v="43"/>
    <n v="10174"/>
    <x v="2"/>
    <x v="2"/>
    <x v="6"/>
    <x v="2"/>
    <x v="4"/>
    <n v="0"/>
    <x v="26"/>
    <x v="4"/>
    <s v="Bangalore"/>
  </r>
  <r>
    <n v="19744223"/>
    <s v="Nitara Zachariah"/>
    <x v="9"/>
    <x v="260"/>
    <n v="774"/>
    <x v="2"/>
    <x v="1"/>
    <x v="4"/>
    <x v="1"/>
    <x v="2"/>
    <n v="0"/>
    <x v="71"/>
    <x v="3"/>
    <s v="Ahmedabad"/>
  </r>
  <r>
    <n v="94653682"/>
    <s v="Dharmajan Raju"/>
    <x v="8"/>
    <x v="238"/>
    <n v="15042"/>
    <x v="0"/>
    <x v="1"/>
    <x v="6"/>
    <x v="1"/>
    <x v="3"/>
    <n v="0"/>
    <x v="52"/>
    <x v="4"/>
    <s v="Lucknow"/>
  </r>
  <r>
    <n v="85995240"/>
    <s v="Indrans Anand"/>
    <x v="2"/>
    <x v="290"/>
    <n v="4239"/>
    <x v="0"/>
    <x v="1"/>
    <x v="3"/>
    <x v="3"/>
    <x v="2"/>
    <n v="0"/>
    <x v="32"/>
    <x v="0"/>
    <s v="Lucknow"/>
  </r>
  <r>
    <n v="46368627"/>
    <s v="Anika Sane"/>
    <x v="0"/>
    <x v="104"/>
    <n v="18959"/>
    <x v="1"/>
    <x v="0"/>
    <x v="8"/>
    <x v="2"/>
    <x v="7"/>
    <n v="1"/>
    <x v="26"/>
    <x v="4"/>
    <s v="Bangalore"/>
  </r>
  <r>
    <n v="88151482"/>
    <s v="Azad Agrawal"/>
    <x v="4"/>
    <x v="145"/>
    <n v="21528"/>
    <x v="3"/>
    <x v="4"/>
    <x v="4"/>
    <x v="2"/>
    <x v="5"/>
    <n v="0"/>
    <x v="67"/>
    <x v="3"/>
    <s v="Hyderabad"/>
  </r>
  <r>
    <n v="39189630"/>
    <s v="Ayesha Korpal"/>
    <x v="2"/>
    <x v="264"/>
    <n v="16250"/>
    <x v="3"/>
    <x v="0"/>
    <x v="5"/>
    <x v="2"/>
    <x v="8"/>
    <n v="1"/>
    <x v="75"/>
    <x v="5"/>
    <s v="Kochi"/>
  </r>
  <r>
    <n v="61537820"/>
    <s v="Divij Mangat"/>
    <x v="1"/>
    <x v="193"/>
    <n v="19002"/>
    <x v="0"/>
    <x v="1"/>
    <x v="0"/>
    <x v="1"/>
    <x v="0"/>
    <n v="0"/>
    <x v="8"/>
    <x v="5"/>
    <s v="Hyderabad"/>
  </r>
  <r>
    <n v="82002595"/>
    <s v="Siya Goswami"/>
    <x v="5"/>
    <x v="18"/>
    <n v="11604"/>
    <x v="1"/>
    <x v="4"/>
    <x v="1"/>
    <x v="0"/>
    <x v="1"/>
    <n v="0"/>
    <x v="23"/>
    <x v="2"/>
    <s v="Bangalore"/>
  </r>
  <r>
    <n v="91507913"/>
    <s v="Priyansh Chandra"/>
    <x v="4"/>
    <x v="296"/>
    <n v="10560"/>
    <x v="0"/>
    <x v="0"/>
    <x v="1"/>
    <x v="2"/>
    <x v="7"/>
    <n v="0"/>
    <x v="58"/>
    <x v="3"/>
    <s v="Ahmedabad"/>
  </r>
  <r>
    <n v="39547838"/>
    <s v="Parinaaz Bhasin"/>
    <x v="1"/>
    <x v="301"/>
    <n v="7799"/>
    <x v="0"/>
    <x v="0"/>
    <x v="2"/>
    <x v="2"/>
    <x v="4"/>
    <n v="0"/>
    <x v="70"/>
    <x v="3"/>
    <s v="Bangalore"/>
  </r>
  <r>
    <n v="81365126"/>
    <s v="Drishya Bedi"/>
    <x v="0"/>
    <x v="273"/>
    <n v="24571"/>
    <x v="3"/>
    <x v="1"/>
    <x v="9"/>
    <x v="0"/>
    <x v="0"/>
    <n v="0"/>
    <x v="79"/>
    <x v="4"/>
    <s v="Jaipur"/>
  </r>
  <r>
    <n v="87649430"/>
    <s v="Lagan Karan"/>
    <x v="0"/>
    <x v="118"/>
    <n v="8937"/>
    <x v="0"/>
    <x v="0"/>
    <x v="6"/>
    <x v="3"/>
    <x v="2"/>
    <n v="0"/>
    <x v="53"/>
    <x v="0"/>
    <s v="Bangalore"/>
  </r>
  <r>
    <n v="61414476"/>
    <s v="Jivin Sandhu"/>
    <x v="9"/>
    <x v="211"/>
    <n v="23681"/>
    <x v="2"/>
    <x v="4"/>
    <x v="7"/>
    <x v="1"/>
    <x v="1"/>
    <n v="0"/>
    <x v="18"/>
    <x v="4"/>
    <s v="Delhi"/>
  </r>
  <r>
    <n v="99425096"/>
    <s v="Shaan Sant"/>
    <x v="9"/>
    <x v="168"/>
    <n v="17379"/>
    <x v="1"/>
    <x v="3"/>
    <x v="1"/>
    <x v="1"/>
    <x v="2"/>
    <n v="0"/>
    <x v="73"/>
    <x v="0"/>
    <s v="Kochi"/>
  </r>
  <r>
    <n v="89284885"/>
    <s v="Kashvi Dada"/>
    <x v="8"/>
    <x v="35"/>
    <n v="10328"/>
    <x v="0"/>
    <x v="4"/>
    <x v="6"/>
    <x v="1"/>
    <x v="4"/>
    <n v="0"/>
    <x v="40"/>
    <x v="1"/>
    <s v="Bangalore"/>
  </r>
  <r>
    <n v="95752087"/>
    <s v="Pihu Chhabra"/>
    <x v="7"/>
    <x v="232"/>
    <n v="14395"/>
    <x v="0"/>
    <x v="0"/>
    <x v="0"/>
    <x v="3"/>
    <x v="0"/>
    <n v="1"/>
    <x v="76"/>
    <x v="3"/>
    <s v="Bangalore"/>
  </r>
  <r>
    <n v="14011955"/>
    <s v="Ishaan Bhalla"/>
    <x v="4"/>
    <x v="241"/>
    <n v="22345"/>
    <x v="1"/>
    <x v="2"/>
    <x v="0"/>
    <x v="2"/>
    <x v="0"/>
    <n v="1"/>
    <x v="11"/>
    <x v="3"/>
    <s v="Mumbai"/>
  </r>
  <r>
    <n v="84483809"/>
    <s v="Dishani Kanda"/>
    <x v="4"/>
    <x v="252"/>
    <n v="2072"/>
    <x v="0"/>
    <x v="1"/>
    <x v="8"/>
    <x v="2"/>
    <x v="3"/>
    <n v="0"/>
    <x v="26"/>
    <x v="5"/>
    <s v="Hyderabad"/>
  </r>
  <r>
    <n v="90482479"/>
    <s v="Samiha Sarma"/>
    <x v="1"/>
    <x v="151"/>
    <n v="3377"/>
    <x v="0"/>
    <x v="1"/>
    <x v="6"/>
    <x v="3"/>
    <x v="5"/>
    <n v="0"/>
    <x v="40"/>
    <x v="5"/>
    <s v="Bangalore"/>
  </r>
  <r>
    <n v="57653865"/>
    <s v="Samar Vala"/>
    <x v="6"/>
    <x v="138"/>
    <n v="16820"/>
    <x v="1"/>
    <x v="4"/>
    <x v="8"/>
    <x v="3"/>
    <x v="0"/>
    <n v="0"/>
    <x v="58"/>
    <x v="3"/>
    <s v="Delhi"/>
  </r>
  <r>
    <n v="46719791"/>
    <s v="Chirag Dutta"/>
    <x v="5"/>
    <x v="148"/>
    <n v="3214"/>
    <x v="2"/>
    <x v="2"/>
    <x v="3"/>
    <x v="1"/>
    <x v="7"/>
    <n v="0"/>
    <x v="34"/>
    <x v="3"/>
    <s v="Kolkata"/>
  </r>
  <r>
    <n v="55782879"/>
    <s v="Elakshi Ramesh"/>
    <x v="0"/>
    <x v="302"/>
    <n v="4651"/>
    <x v="0"/>
    <x v="0"/>
    <x v="3"/>
    <x v="1"/>
    <x v="0"/>
    <n v="0"/>
    <x v="74"/>
    <x v="2"/>
    <s v="Jaipur"/>
  </r>
  <r>
    <n v="19369577"/>
    <s v="Prerak Mani"/>
    <x v="3"/>
    <x v="62"/>
    <n v="11666"/>
    <x v="0"/>
    <x v="2"/>
    <x v="6"/>
    <x v="2"/>
    <x v="3"/>
    <n v="0"/>
    <x v="33"/>
    <x v="5"/>
    <s v="Kolkata"/>
  </r>
  <r>
    <n v="61969357"/>
    <s v="Kaira Amble"/>
    <x v="4"/>
    <x v="280"/>
    <n v="16460"/>
    <x v="1"/>
    <x v="3"/>
    <x v="6"/>
    <x v="1"/>
    <x v="4"/>
    <n v="0"/>
    <x v="42"/>
    <x v="5"/>
    <s v="Kochi"/>
  </r>
  <r>
    <n v="12068844"/>
    <s v="Reyansh Wable"/>
    <x v="5"/>
    <x v="63"/>
    <n v="6734"/>
    <x v="0"/>
    <x v="3"/>
    <x v="4"/>
    <x v="2"/>
    <x v="8"/>
    <n v="0"/>
    <x v="21"/>
    <x v="4"/>
    <s v="Delhi"/>
  </r>
  <r>
    <n v="72334336"/>
    <s v="Mannat Sani"/>
    <x v="5"/>
    <x v="303"/>
    <n v="560"/>
    <x v="1"/>
    <x v="0"/>
    <x v="2"/>
    <x v="1"/>
    <x v="6"/>
    <n v="0"/>
    <x v="81"/>
    <x v="3"/>
    <s v="Bangalore"/>
  </r>
  <r>
    <n v="53648206"/>
    <s v="Ojas Sant"/>
    <x v="5"/>
    <x v="67"/>
    <n v="10282"/>
    <x v="1"/>
    <x v="1"/>
    <x v="9"/>
    <x v="0"/>
    <x v="4"/>
    <n v="0"/>
    <x v="35"/>
    <x v="0"/>
    <s v="Mumbai"/>
  </r>
  <r>
    <n v="74838611"/>
    <s v="Ritvik Goel"/>
    <x v="2"/>
    <x v="304"/>
    <n v="15242"/>
    <x v="0"/>
    <x v="3"/>
    <x v="5"/>
    <x v="1"/>
    <x v="8"/>
    <n v="1"/>
    <x v="16"/>
    <x v="3"/>
    <s v="Ahmedabad"/>
  </r>
  <r>
    <n v="92869561"/>
    <s v="Bhavin Deo"/>
    <x v="9"/>
    <x v="92"/>
    <n v="13434"/>
    <x v="0"/>
    <x v="3"/>
    <x v="3"/>
    <x v="3"/>
    <x v="1"/>
    <n v="0"/>
    <x v="18"/>
    <x v="0"/>
    <s v="Delhi"/>
  </r>
  <r>
    <n v="64384674"/>
    <s v="Taran Tripathi"/>
    <x v="6"/>
    <x v="305"/>
    <n v="19675"/>
    <x v="1"/>
    <x v="4"/>
    <x v="5"/>
    <x v="0"/>
    <x v="5"/>
    <n v="1"/>
    <x v="70"/>
    <x v="2"/>
    <s v="Bangalore"/>
  </r>
  <r>
    <n v="48333941"/>
    <s v="Armaan Mand"/>
    <x v="8"/>
    <x v="128"/>
    <n v="17514"/>
    <x v="0"/>
    <x v="4"/>
    <x v="3"/>
    <x v="3"/>
    <x v="0"/>
    <n v="0"/>
    <x v="10"/>
    <x v="5"/>
    <s v="Lucknow"/>
  </r>
  <r>
    <n v="40328186"/>
    <s v="Yasmin Rajagopalan"/>
    <x v="1"/>
    <x v="306"/>
    <n v="12486"/>
    <x v="0"/>
    <x v="0"/>
    <x v="9"/>
    <x v="0"/>
    <x v="7"/>
    <n v="1"/>
    <x v="40"/>
    <x v="2"/>
    <s v="Kochi"/>
  </r>
  <r>
    <n v="37484314"/>
    <s v="Siya Balakrishnan"/>
    <x v="0"/>
    <x v="253"/>
    <n v="1920"/>
    <x v="1"/>
    <x v="1"/>
    <x v="2"/>
    <x v="1"/>
    <x v="0"/>
    <n v="0"/>
    <x v="44"/>
    <x v="2"/>
    <s v="Lucknow"/>
  </r>
  <r>
    <n v="38402494"/>
    <s v="Aarav Vala"/>
    <x v="0"/>
    <x v="252"/>
    <n v="15753"/>
    <x v="0"/>
    <x v="1"/>
    <x v="4"/>
    <x v="0"/>
    <x v="7"/>
    <n v="0"/>
    <x v="26"/>
    <x v="0"/>
    <s v="Hyderabad"/>
  </r>
  <r>
    <n v="79478882"/>
    <s v="Darshit Shankar"/>
    <x v="9"/>
    <x v="171"/>
    <n v="6153"/>
    <x v="0"/>
    <x v="2"/>
    <x v="1"/>
    <x v="3"/>
    <x v="6"/>
    <n v="0"/>
    <x v="83"/>
    <x v="2"/>
    <s v="Chennai"/>
  </r>
  <r>
    <n v="23385573"/>
    <s v="Chirag Anne"/>
    <x v="5"/>
    <x v="237"/>
    <n v="15891"/>
    <x v="3"/>
    <x v="0"/>
    <x v="5"/>
    <x v="0"/>
    <x v="0"/>
    <n v="1"/>
    <x v="70"/>
    <x v="1"/>
    <s v="Chennai"/>
  </r>
  <r>
    <n v="97070178"/>
    <s v="Zaina Baria"/>
    <x v="4"/>
    <x v="87"/>
    <n v="18085"/>
    <x v="0"/>
    <x v="1"/>
    <x v="3"/>
    <x v="2"/>
    <x v="1"/>
    <n v="0"/>
    <x v="73"/>
    <x v="4"/>
    <s v="Lucknow"/>
  </r>
  <r>
    <n v="32004807"/>
    <s v="Divit Ahluwalia"/>
    <x v="8"/>
    <x v="41"/>
    <n v="23420"/>
    <x v="2"/>
    <x v="0"/>
    <x v="4"/>
    <x v="1"/>
    <x v="3"/>
    <n v="0"/>
    <x v="20"/>
    <x v="0"/>
    <s v="Chennai"/>
  </r>
  <r>
    <n v="41793259"/>
    <s v="Mohanlal Bahl"/>
    <x v="1"/>
    <x v="181"/>
    <n v="12408"/>
    <x v="3"/>
    <x v="2"/>
    <x v="2"/>
    <x v="0"/>
    <x v="5"/>
    <n v="0"/>
    <x v="75"/>
    <x v="0"/>
    <s v="Kolkata"/>
  </r>
  <r>
    <n v="35934817"/>
    <s v="Vritika Madan"/>
    <x v="2"/>
    <x v="167"/>
    <n v="18798"/>
    <x v="1"/>
    <x v="1"/>
    <x v="1"/>
    <x v="0"/>
    <x v="0"/>
    <n v="1"/>
    <x v="64"/>
    <x v="5"/>
    <s v="Ahmedabad"/>
  </r>
  <r>
    <n v="43817969"/>
    <s v="Neysa Sridhar"/>
    <x v="7"/>
    <x v="270"/>
    <n v="24119"/>
    <x v="3"/>
    <x v="2"/>
    <x v="2"/>
    <x v="3"/>
    <x v="6"/>
    <n v="0"/>
    <x v="18"/>
    <x v="4"/>
    <s v="Bangalore"/>
  </r>
  <r>
    <n v="23029606"/>
    <s v="Damini Sarma"/>
    <x v="1"/>
    <x v="155"/>
    <n v="5118"/>
    <x v="0"/>
    <x v="0"/>
    <x v="7"/>
    <x v="0"/>
    <x v="0"/>
    <n v="0"/>
    <x v="76"/>
    <x v="4"/>
    <s v="Chennai"/>
  </r>
  <r>
    <n v="21931541"/>
    <s v="Shanaya Kant"/>
    <x v="7"/>
    <x v="158"/>
    <n v="11071"/>
    <x v="0"/>
    <x v="0"/>
    <x v="7"/>
    <x v="1"/>
    <x v="1"/>
    <n v="1"/>
    <x v="57"/>
    <x v="2"/>
    <s v="Ahmedabad"/>
  </r>
  <r>
    <n v="25121428"/>
    <s v="Tushar Bumb"/>
    <x v="7"/>
    <x v="120"/>
    <n v="2688"/>
    <x v="0"/>
    <x v="2"/>
    <x v="9"/>
    <x v="1"/>
    <x v="8"/>
    <n v="0"/>
    <x v="57"/>
    <x v="4"/>
    <s v="Jaipur"/>
  </r>
  <r>
    <n v="82732667"/>
    <s v="Hrishita Hayre"/>
    <x v="0"/>
    <x v="253"/>
    <n v="12716"/>
    <x v="0"/>
    <x v="4"/>
    <x v="6"/>
    <x v="3"/>
    <x v="8"/>
    <n v="1"/>
    <x v="71"/>
    <x v="2"/>
    <s v="Chennai"/>
  </r>
  <r>
    <n v="55999497"/>
    <s v="Elakshi Chaudhari"/>
    <x v="5"/>
    <x v="85"/>
    <n v="7665"/>
    <x v="1"/>
    <x v="0"/>
    <x v="0"/>
    <x v="0"/>
    <x v="7"/>
    <n v="0"/>
    <x v="27"/>
    <x v="0"/>
    <s v="Lucknow"/>
  </r>
  <r>
    <n v="97895403"/>
    <s v="Nitara Mannan"/>
    <x v="0"/>
    <x v="307"/>
    <n v="1443"/>
    <x v="1"/>
    <x v="3"/>
    <x v="3"/>
    <x v="2"/>
    <x v="7"/>
    <n v="0"/>
    <x v="23"/>
    <x v="1"/>
    <s v="Lucknow"/>
  </r>
  <r>
    <n v="45688291"/>
    <s v="Ishita Chacko"/>
    <x v="1"/>
    <x v="168"/>
    <n v="8988"/>
    <x v="1"/>
    <x v="3"/>
    <x v="1"/>
    <x v="2"/>
    <x v="3"/>
    <n v="1"/>
    <x v="37"/>
    <x v="2"/>
    <s v="Hyderabad"/>
  </r>
  <r>
    <n v="94044978"/>
    <s v="Biju Dani"/>
    <x v="5"/>
    <x v="139"/>
    <n v="15127"/>
    <x v="1"/>
    <x v="1"/>
    <x v="2"/>
    <x v="1"/>
    <x v="2"/>
    <n v="0"/>
    <x v="78"/>
    <x v="3"/>
    <s v="Bangalore"/>
  </r>
  <r>
    <n v="42270663"/>
    <s v="Tara Lalla"/>
    <x v="8"/>
    <x v="308"/>
    <n v="12347"/>
    <x v="2"/>
    <x v="2"/>
    <x v="6"/>
    <x v="3"/>
    <x v="2"/>
    <n v="0"/>
    <x v="83"/>
    <x v="0"/>
    <s v="Lucknow"/>
  </r>
  <r>
    <n v="82776552"/>
    <s v="Lakshit Rout"/>
    <x v="3"/>
    <x v="101"/>
    <n v="3687"/>
    <x v="0"/>
    <x v="2"/>
    <x v="3"/>
    <x v="1"/>
    <x v="1"/>
    <n v="0"/>
    <x v="57"/>
    <x v="4"/>
    <s v="Jaipur"/>
  </r>
  <r>
    <n v="37143730"/>
    <s v="Rania Cherian"/>
    <x v="9"/>
    <x v="64"/>
    <n v="8630"/>
    <x v="2"/>
    <x v="0"/>
    <x v="9"/>
    <x v="1"/>
    <x v="6"/>
    <n v="0"/>
    <x v="23"/>
    <x v="0"/>
    <s v="Bangalore"/>
  </r>
  <r>
    <n v="49453836"/>
    <s v="Tarini Suresh"/>
    <x v="3"/>
    <x v="283"/>
    <n v="4189"/>
    <x v="1"/>
    <x v="3"/>
    <x v="0"/>
    <x v="3"/>
    <x v="5"/>
    <n v="0"/>
    <x v="66"/>
    <x v="4"/>
    <s v="Ahmedabad"/>
  </r>
  <r>
    <n v="85529393"/>
    <s v="Anaya Srinivasan"/>
    <x v="5"/>
    <x v="262"/>
    <n v="15627"/>
    <x v="0"/>
    <x v="2"/>
    <x v="6"/>
    <x v="0"/>
    <x v="3"/>
    <n v="0"/>
    <x v="48"/>
    <x v="2"/>
    <s v="Delhi"/>
  </r>
  <r>
    <n v="60347967"/>
    <s v="Vardaniya Batra"/>
    <x v="2"/>
    <x v="309"/>
    <n v="18894"/>
    <x v="1"/>
    <x v="1"/>
    <x v="6"/>
    <x v="3"/>
    <x v="3"/>
    <n v="0"/>
    <x v="28"/>
    <x v="4"/>
    <s v="Mumbai"/>
  </r>
  <r>
    <n v="54850380"/>
    <s v="Vardaniya Gade"/>
    <x v="4"/>
    <x v="94"/>
    <n v="12678"/>
    <x v="1"/>
    <x v="3"/>
    <x v="5"/>
    <x v="0"/>
    <x v="3"/>
    <n v="0"/>
    <x v="39"/>
    <x v="4"/>
    <s v="Ahmedabad"/>
  </r>
  <r>
    <n v="37714624"/>
    <s v="Vedika Devan"/>
    <x v="6"/>
    <x v="211"/>
    <n v="14058"/>
    <x v="1"/>
    <x v="4"/>
    <x v="9"/>
    <x v="1"/>
    <x v="7"/>
    <n v="0"/>
    <x v="80"/>
    <x v="2"/>
    <s v="Delhi"/>
  </r>
  <r>
    <n v="42833819"/>
    <s v="Faiyaz Viswanathan"/>
    <x v="6"/>
    <x v="107"/>
    <n v="21611"/>
    <x v="1"/>
    <x v="2"/>
    <x v="6"/>
    <x v="1"/>
    <x v="7"/>
    <n v="0"/>
    <x v="11"/>
    <x v="0"/>
    <s v="Kolkata"/>
  </r>
  <r>
    <n v="91894939"/>
    <s v="Vaibhav Kapoor"/>
    <x v="1"/>
    <x v="207"/>
    <n v="12172"/>
    <x v="1"/>
    <x v="2"/>
    <x v="1"/>
    <x v="3"/>
    <x v="3"/>
    <n v="0"/>
    <x v="5"/>
    <x v="2"/>
    <s v="Kochi"/>
  </r>
  <r>
    <n v="55664325"/>
    <s v="Aarav Kala"/>
    <x v="9"/>
    <x v="34"/>
    <n v="9632"/>
    <x v="1"/>
    <x v="0"/>
    <x v="0"/>
    <x v="3"/>
    <x v="6"/>
    <n v="0"/>
    <x v="37"/>
    <x v="1"/>
    <s v="Lucknow"/>
  </r>
  <r>
    <n v="13429528"/>
    <s v="Shamik Apte"/>
    <x v="2"/>
    <x v="158"/>
    <n v="4977"/>
    <x v="3"/>
    <x v="1"/>
    <x v="6"/>
    <x v="3"/>
    <x v="6"/>
    <n v="0"/>
    <x v="85"/>
    <x v="1"/>
    <s v="Mumbai"/>
  </r>
  <r>
    <n v="61034288"/>
    <s v="Jivika Srinivasan"/>
    <x v="9"/>
    <x v="57"/>
    <n v="5424"/>
    <x v="0"/>
    <x v="3"/>
    <x v="6"/>
    <x v="0"/>
    <x v="1"/>
    <n v="0"/>
    <x v="46"/>
    <x v="4"/>
    <s v="Mumbai"/>
  </r>
  <r>
    <n v="95952347"/>
    <s v="Amira Devi"/>
    <x v="1"/>
    <x v="155"/>
    <n v="11341"/>
    <x v="2"/>
    <x v="4"/>
    <x v="0"/>
    <x v="0"/>
    <x v="8"/>
    <n v="0"/>
    <x v="43"/>
    <x v="3"/>
    <s v="Lucknow"/>
  </r>
  <r>
    <n v="96130987"/>
    <s v="Gokul Mammen"/>
    <x v="9"/>
    <x v="194"/>
    <n v="12548"/>
    <x v="0"/>
    <x v="0"/>
    <x v="9"/>
    <x v="3"/>
    <x v="1"/>
    <n v="0"/>
    <x v="50"/>
    <x v="0"/>
    <s v="Mumbai"/>
  </r>
  <r>
    <n v="80845248"/>
    <s v="Ehsaan Balan"/>
    <x v="0"/>
    <x v="270"/>
    <n v="4615"/>
    <x v="1"/>
    <x v="1"/>
    <x v="3"/>
    <x v="1"/>
    <x v="2"/>
    <n v="0"/>
    <x v="6"/>
    <x v="5"/>
    <s v="Lucknow"/>
  </r>
  <r>
    <n v="90217396"/>
    <s v="Aradhya Bora"/>
    <x v="0"/>
    <x v="36"/>
    <n v="20294"/>
    <x v="3"/>
    <x v="2"/>
    <x v="8"/>
    <x v="2"/>
    <x v="1"/>
    <n v="0"/>
    <x v="7"/>
    <x v="4"/>
    <s v="Chennai"/>
  </r>
  <r>
    <n v="39514509"/>
    <s v="Prerak Sunder"/>
    <x v="1"/>
    <x v="310"/>
    <n v="24003"/>
    <x v="1"/>
    <x v="4"/>
    <x v="4"/>
    <x v="2"/>
    <x v="1"/>
    <n v="0"/>
    <x v="80"/>
    <x v="2"/>
    <s v="Jaipur"/>
  </r>
  <r>
    <n v="27297762"/>
    <s v="Kanav Taneja"/>
    <x v="5"/>
    <x v="136"/>
    <n v="6040"/>
    <x v="0"/>
    <x v="0"/>
    <x v="5"/>
    <x v="2"/>
    <x v="8"/>
    <n v="0"/>
    <x v="82"/>
    <x v="1"/>
    <s v="Chennai"/>
  </r>
  <r>
    <n v="20703189"/>
    <s v="Adira Agrawal"/>
    <x v="4"/>
    <x v="211"/>
    <n v="12396"/>
    <x v="1"/>
    <x v="2"/>
    <x v="8"/>
    <x v="2"/>
    <x v="6"/>
    <n v="0"/>
    <x v="62"/>
    <x v="1"/>
    <s v="Jaipur"/>
  </r>
  <r>
    <n v="53773966"/>
    <s v="Ishita Chawla"/>
    <x v="9"/>
    <x v="159"/>
    <n v="23363"/>
    <x v="1"/>
    <x v="1"/>
    <x v="1"/>
    <x v="1"/>
    <x v="7"/>
    <n v="0"/>
    <x v="36"/>
    <x v="5"/>
    <s v="Chennai"/>
  </r>
  <r>
    <n v="76290015"/>
    <s v="Yashvi Tella"/>
    <x v="3"/>
    <x v="20"/>
    <n v="15839"/>
    <x v="0"/>
    <x v="4"/>
    <x v="5"/>
    <x v="3"/>
    <x v="2"/>
    <n v="0"/>
    <x v="57"/>
    <x v="2"/>
    <s v="Bangalore"/>
  </r>
  <r>
    <n v="70320729"/>
    <s v="Alisha Wason"/>
    <x v="9"/>
    <x v="253"/>
    <n v="18440"/>
    <x v="1"/>
    <x v="2"/>
    <x v="2"/>
    <x v="3"/>
    <x v="2"/>
    <n v="0"/>
    <x v="14"/>
    <x v="1"/>
    <s v="Hyderabad"/>
  </r>
  <r>
    <n v="58447473"/>
    <s v="Divyansh Basu"/>
    <x v="0"/>
    <x v="134"/>
    <n v="11037"/>
    <x v="1"/>
    <x v="1"/>
    <x v="2"/>
    <x v="0"/>
    <x v="4"/>
    <n v="1"/>
    <x v="80"/>
    <x v="1"/>
    <s v="Bangalore"/>
  </r>
  <r>
    <n v="49770596"/>
    <s v="Dharmajan Bhat"/>
    <x v="4"/>
    <x v="158"/>
    <n v="23940"/>
    <x v="1"/>
    <x v="0"/>
    <x v="9"/>
    <x v="0"/>
    <x v="1"/>
    <n v="0"/>
    <x v="42"/>
    <x v="4"/>
    <s v="Kolkata"/>
  </r>
  <r>
    <n v="34900433"/>
    <s v="Ahana  Bhatia"/>
    <x v="2"/>
    <x v="235"/>
    <n v="2191"/>
    <x v="1"/>
    <x v="3"/>
    <x v="9"/>
    <x v="2"/>
    <x v="2"/>
    <n v="1"/>
    <x v="13"/>
    <x v="5"/>
    <s v="Jaipur"/>
  </r>
  <r>
    <n v="77585141"/>
    <s v="Ahana  Dube"/>
    <x v="5"/>
    <x v="255"/>
    <n v="18228"/>
    <x v="1"/>
    <x v="0"/>
    <x v="8"/>
    <x v="2"/>
    <x v="7"/>
    <n v="1"/>
    <x v="63"/>
    <x v="2"/>
    <s v="Lucknow"/>
  </r>
  <r>
    <n v="74721679"/>
    <s v="Vedika Sathe"/>
    <x v="7"/>
    <x v="311"/>
    <n v="16523"/>
    <x v="1"/>
    <x v="2"/>
    <x v="7"/>
    <x v="3"/>
    <x v="3"/>
    <n v="1"/>
    <x v="43"/>
    <x v="4"/>
    <s v="Bangalore"/>
  </r>
  <r>
    <n v="28022398"/>
    <s v="Sana Guha"/>
    <x v="8"/>
    <x v="272"/>
    <n v="8796"/>
    <x v="1"/>
    <x v="0"/>
    <x v="5"/>
    <x v="3"/>
    <x v="5"/>
    <n v="0"/>
    <x v="33"/>
    <x v="1"/>
    <s v="Lucknow"/>
  </r>
  <r>
    <n v="66483634"/>
    <s v="Zaina Dhawan"/>
    <x v="3"/>
    <x v="167"/>
    <n v="12223"/>
    <x v="0"/>
    <x v="4"/>
    <x v="4"/>
    <x v="0"/>
    <x v="5"/>
    <n v="0"/>
    <x v="5"/>
    <x v="4"/>
    <s v="Delhi"/>
  </r>
  <r>
    <n v="98531924"/>
    <s v="Rati Mani"/>
    <x v="5"/>
    <x v="180"/>
    <n v="897"/>
    <x v="1"/>
    <x v="0"/>
    <x v="0"/>
    <x v="3"/>
    <x v="5"/>
    <n v="1"/>
    <x v="34"/>
    <x v="4"/>
    <s v="Hyderabad"/>
  </r>
  <r>
    <n v="12739734"/>
    <s v="Jhanvi Bobal"/>
    <x v="5"/>
    <x v="128"/>
    <n v="11174"/>
    <x v="0"/>
    <x v="4"/>
    <x v="0"/>
    <x v="2"/>
    <x v="1"/>
    <n v="1"/>
    <x v="45"/>
    <x v="3"/>
    <s v="Chennai"/>
  </r>
  <r>
    <n v="57329983"/>
    <s v="Zain Garg"/>
    <x v="2"/>
    <x v="272"/>
    <n v="9368"/>
    <x v="0"/>
    <x v="4"/>
    <x v="8"/>
    <x v="0"/>
    <x v="2"/>
    <n v="0"/>
    <x v="24"/>
    <x v="4"/>
    <s v="Bangalore"/>
  </r>
  <r>
    <n v="12116972"/>
    <s v="Ehsaan Gola"/>
    <x v="9"/>
    <x v="61"/>
    <n v="20144"/>
    <x v="1"/>
    <x v="1"/>
    <x v="8"/>
    <x v="0"/>
    <x v="0"/>
    <n v="0"/>
    <x v="85"/>
    <x v="4"/>
    <s v="Hyderabad"/>
  </r>
  <r>
    <n v="98290929"/>
    <s v="Eva Bajwa"/>
    <x v="8"/>
    <x v="218"/>
    <n v="10527"/>
    <x v="1"/>
    <x v="3"/>
    <x v="9"/>
    <x v="3"/>
    <x v="3"/>
    <n v="0"/>
    <x v="62"/>
    <x v="5"/>
    <s v="Ahmedabad"/>
  </r>
  <r>
    <n v="10116275"/>
    <s v="Nitya Rattan"/>
    <x v="0"/>
    <x v="259"/>
    <n v="23844"/>
    <x v="1"/>
    <x v="0"/>
    <x v="6"/>
    <x v="0"/>
    <x v="6"/>
    <n v="0"/>
    <x v="66"/>
    <x v="2"/>
    <s v="Kolkata"/>
  </r>
  <r>
    <n v="56529466"/>
    <s v="Zara Bajwa"/>
    <x v="3"/>
    <x v="85"/>
    <n v="12457"/>
    <x v="2"/>
    <x v="3"/>
    <x v="0"/>
    <x v="3"/>
    <x v="1"/>
    <n v="1"/>
    <x v="13"/>
    <x v="2"/>
    <s v="Bangalore"/>
  </r>
  <r>
    <n v="52003766"/>
    <s v="Khushi Jhaveri"/>
    <x v="3"/>
    <x v="103"/>
    <n v="21940"/>
    <x v="1"/>
    <x v="2"/>
    <x v="2"/>
    <x v="3"/>
    <x v="6"/>
    <n v="0"/>
    <x v="63"/>
    <x v="5"/>
    <s v="Bangalore"/>
  </r>
  <r>
    <n v="93058559"/>
    <s v="Suhana Chada"/>
    <x v="8"/>
    <x v="119"/>
    <n v="17528"/>
    <x v="0"/>
    <x v="3"/>
    <x v="1"/>
    <x v="1"/>
    <x v="7"/>
    <n v="0"/>
    <x v="74"/>
    <x v="3"/>
    <s v="Hyderabad"/>
  </r>
  <r>
    <n v="93001468"/>
    <s v="Madhav Jha"/>
    <x v="8"/>
    <x v="87"/>
    <n v="16176"/>
    <x v="2"/>
    <x v="0"/>
    <x v="7"/>
    <x v="0"/>
    <x v="3"/>
    <n v="0"/>
    <x v="61"/>
    <x v="5"/>
    <s v="Chennai"/>
  </r>
  <r>
    <n v="60226113"/>
    <s v="Anahi Swamy"/>
    <x v="1"/>
    <x v="261"/>
    <n v="1880"/>
    <x v="1"/>
    <x v="4"/>
    <x v="5"/>
    <x v="2"/>
    <x v="1"/>
    <n v="1"/>
    <x v="22"/>
    <x v="3"/>
    <s v="Jaipur"/>
  </r>
  <r>
    <n v="81450681"/>
    <s v="Chirag Bala"/>
    <x v="2"/>
    <x v="121"/>
    <n v="14363"/>
    <x v="1"/>
    <x v="0"/>
    <x v="7"/>
    <x v="1"/>
    <x v="3"/>
    <n v="0"/>
    <x v="20"/>
    <x v="1"/>
    <s v="Delhi"/>
  </r>
  <r>
    <n v="36701532"/>
    <s v="Baiju Raval"/>
    <x v="1"/>
    <x v="80"/>
    <n v="19756"/>
    <x v="2"/>
    <x v="0"/>
    <x v="1"/>
    <x v="2"/>
    <x v="3"/>
    <n v="0"/>
    <x v="69"/>
    <x v="5"/>
    <s v="Kolkata"/>
  </r>
  <r>
    <n v="77808857"/>
    <s v="Vidur Kade"/>
    <x v="2"/>
    <x v="155"/>
    <n v="14347"/>
    <x v="1"/>
    <x v="4"/>
    <x v="9"/>
    <x v="2"/>
    <x v="3"/>
    <n v="1"/>
    <x v="84"/>
    <x v="4"/>
    <s v="Lucknow"/>
  </r>
  <r>
    <n v="68820542"/>
    <s v="Jivin Sawhney"/>
    <x v="3"/>
    <x v="244"/>
    <n v="10512"/>
    <x v="0"/>
    <x v="3"/>
    <x v="1"/>
    <x v="1"/>
    <x v="4"/>
    <n v="0"/>
    <x v="28"/>
    <x v="0"/>
    <s v="Ahmedabad"/>
  </r>
  <r>
    <n v="50379683"/>
    <s v="Mamooty Bath"/>
    <x v="4"/>
    <x v="243"/>
    <n v="1724"/>
    <x v="2"/>
    <x v="0"/>
    <x v="5"/>
    <x v="3"/>
    <x v="5"/>
    <n v="0"/>
    <x v="53"/>
    <x v="4"/>
    <s v="Ahmedabad"/>
  </r>
  <r>
    <n v="12076898"/>
    <s v="Shlok Wali"/>
    <x v="6"/>
    <x v="96"/>
    <n v="11186"/>
    <x v="0"/>
    <x v="1"/>
    <x v="9"/>
    <x v="2"/>
    <x v="4"/>
    <n v="0"/>
    <x v="11"/>
    <x v="2"/>
    <s v="Bangalore"/>
  </r>
  <r>
    <n v="52541363"/>
    <s v="Abram Dugar"/>
    <x v="3"/>
    <x v="186"/>
    <n v="18411"/>
    <x v="0"/>
    <x v="4"/>
    <x v="7"/>
    <x v="0"/>
    <x v="0"/>
    <n v="0"/>
    <x v="29"/>
    <x v="4"/>
    <s v="Bangalore"/>
  </r>
  <r>
    <n v="22624632"/>
    <s v="Eshani Mahal"/>
    <x v="1"/>
    <x v="312"/>
    <n v="12800"/>
    <x v="0"/>
    <x v="2"/>
    <x v="6"/>
    <x v="1"/>
    <x v="2"/>
    <n v="0"/>
    <x v="10"/>
    <x v="4"/>
    <s v="Mumbai"/>
  </r>
  <r>
    <n v="20071099"/>
    <s v="Shanaya Khanna"/>
    <x v="9"/>
    <x v="313"/>
    <n v="18579"/>
    <x v="1"/>
    <x v="3"/>
    <x v="4"/>
    <x v="0"/>
    <x v="4"/>
    <n v="0"/>
    <x v="7"/>
    <x v="4"/>
    <s v="Kolkata"/>
  </r>
  <r>
    <n v="49383293"/>
    <s v="Ira Sami"/>
    <x v="9"/>
    <x v="129"/>
    <n v="12958"/>
    <x v="0"/>
    <x v="0"/>
    <x v="0"/>
    <x v="3"/>
    <x v="4"/>
    <n v="0"/>
    <x v="9"/>
    <x v="4"/>
    <s v="Ahmedabad"/>
  </r>
  <r>
    <n v="12093001"/>
    <s v="Divij Rau"/>
    <x v="5"/>
    <x v="52"/>
    <n v="18039"/>
    <x v="1"/>
    <x v="3"/>
    <x v="7"/>
    <x v="2"/>
    <x v="4"/>
    <n v="0"/>
    <x v="31"/>
    <x v="1"/>
    <s v="Hyderabad"/>
  </r>
  <r>
    <n v="32479653"/>
    <s v="Biju Ghose"/>
    <x v="5"/>
    <x v="147"/>
    <n v="19160"/>
    <x v="1"/>
    <x v="4"/>
    <x v="7"/>
    <x v="2"/>
    <x v="0"/>
    <n v="0"/>
    <x v="55"/>
    <x v="2"/>
    <s v="Lucknow"/>
  </r>
  <r>
    <n v="60403246"/>
    <s v="Zoya Karan"/>
    <x v="6"/>
    <x v="194"/>
    <n v="19765"/>
    <x v="3"/>
    <x v="3"/>
    <x v="3"/>
    <x v="2"/>
    <x v="4"/>
    <n v="0"/>
    <x v="59"/>
    <x v="5"/>
    <s v="Mumbai"/>
  </r>
  <r>
    <n v="88043181"/>
    <s v="Aaina Loyal"/>
    <x v="3"/>
    <x v="197"/>
    <n v="17024"/>
    <x v="1"/>
    <x v="2"/>
    <x v="4"/>
    <x v="1"/>
    <x v="3"/>
    <n v="0"/>
    <x v="1"/>
    <x v="5"/>
    <s v="Mumbai"/>
  </r>
  <r>
    <n v="87959519"/>
    <s v="Parinaaz Sangha"/>
    <x v="7"/>
    <x v="314"/>
    <n v="7499"/>
    <x v="2"/>
    <x v="4"/>
    <x v="9"/>
    <x v="1"/>
    <x v="8"/>
    <n v="1"/>
    <x v="76"/>
    <x v="2"/>
    <s v="Chennai"/>
  </r>
  <r>
    <n v="63887302"/>
    <s v="Hrishita Biswas"/>
    <x v="7"/>
    <x v="163"/>
    <n v="18866"/>
    <x v="0"/>
    <x v="2"/>
    <x v="4"/>
    <x v="0"/>
    <x v="6"/>
    <n v="0"/>
    <x v="17"/>
    <x v="4"/>
    <s v="Kolkata"/>
  </r>
  <r>
    <n v="90240367"/>
    <s v="Kimaya Mannan"/>
    <x v="4"/>
    <x v="315"/>
    <n v="9887"/>
    <x v="0"/>
    <x v="2"/>
    <x v="2"/>
    <x v="2"/>
    <x v="4"/>
    <n v="0"/>
    <x v="27"/>
    <x v="4"/>
    <s v="Chennai"/>
  </r>
  <r>
    <n v="77022854"/>
    <s v="Myra Karan"/>
    <x v="2"/>
    <x v="211"/>
    <n v="7772"/>
    <x v="0"/>
    <x v="3"/>
    <x v="6"/>
    <x v="0"/>
    <x v="2"/>
    <n v="0"/>
    <x v="11"/>
    <x v="2"/>
    <s v="Lucknow"/>
  </r>
  <r>
    <n v="78613238"/>
    <s v="Diya Dhawan"/>
    <x v="2"/>
    <x v="316"/>
    <n v="22708"/>
    <x v="3"/>
    <x v="4"/>
    <x v="2"/>
    <x v="1"/>
    <x v="6"/>
    <n v="0"/>
    <x v="59"/>
    <x v="1"/>
    <s v="Hyderabad"/>
  </r>
  <r>
    <n v="55421291"/>
    <s v="Anahi Chand"/>
    <x v="3"/>
    <x v="191"/>
    <n v="12752"/>
    <x v="1"/>
    <x v="2"/>
    <x v="4"/>
    <x v="1"/>
    <x v="7"/>
    <n v="0"/>
    <x v="72"/>
    <x v="1"/>
    <s v="Lucknow"/>
  </r>
  <r>
    <n v="38766957"/>
    <s v="Nakul Garde"/>
    <x v="3"/>
    <x v="190"/>
    <n v="22062"/>
    <x v="1"/>
    <x v="0"/>
    <x v="3"/>
    <x v="0"/>
    <x v="8"/>
    <n v="0"/>
    <x v="5"/>
    <x v="4"/>
    <s v="Delhi"/>
  </r>
  <r>
    <n v="76481352"/>
    <s v="Eshani Ghose"/>
    <x v="5"/>
    <x v="317"/>
    <n v="7352"/>
    <x v="3"/>
    <x v="4"/>
    <x v="1"/>
    <x v="3"/>
    <x v="0"/>
    <n v="1"/>
    <x v="51"/>
    <x v="0"/>
    <s v="Kolkata"/>
  </r>
  <r>
    <n v="24275215"/>
    <s v="Diya Bala"/>
    <x v="8"/>
    <x v="66"/>
    <n v="21420"/>
    <x v="1"/>
    <x v="1"/>
    <x v="1"/>
    <x v="2"/>
    <x v="0"/>
    <n v="0"/>
    <x v="55"/>
    <x v="4"/>
    <s v="Bangalore"/>
  </r>
  <r>
    <n v="82179115"/>
    <s v="Kavya Dass"/>
    <x v="9"/>
    <x v="256"/>
    <n v="17577"/>
    <x v="1"/>
    <x v="2"/>
    <x v="4"/>
    <x v="3"/>
    <x v="4"/>
    <n v="1"/>
    <x v="53"/>
    <x v="1"/>
    <s v="Chennai"/>
  </r>
  <r>
    <n v="83603030"/>
    <s v="Akarsh Mangat"/>
    <x v="4"/>
    <x v="61"/>
    <n v="10361"/>
    <x v="0"/>
    <x v="4"/>
    <x v="0"/>
    <x v="1"/>
    <x v="8"/>
    <n v="1"/>
    <x v="31"/>
    <x v="4"/>
    <s v="Mumbai"/>
  </r>
  <r>
    <n v="95882123"/>
    <s v="Jiya Khalsa"/>
    <x v="8"/>
    <x v="315"/>
    <n v="6237"/>
    <x v="1"/>
    <x v="4"/>
    <x v="5"/>
    <x v="3"/>
    <x v="7"/>
    <n v="0"/>
    <x v="4"/>
    <x v="3"/>
    <s v="Delhi"/>
  </r>
  <r>
    <n v="91269635"/>
    <s v="Anaya Bhandari"/>
    <x v="6"/>
    <x v="223"/>
    <n v="11756"/>
    <x v="3"/>
    <x v="4"/>
    <x v="3"/>
    <x v="2"/>
    <x v="4"/>
    <n v="0"/>
    <x v="4"/>
    <x v="2"/>
    <s v="Lucknow"/>
  </r>
  <r>
    <n v="81975179"/>
    <s v="Taran Dutt"/>
    <x v="7"/>
    <x v="83"/>
    <n v="16731"/>
    <x v="0"/>
    <x v="1"/>
    <x v="4"/>
    <x v="0"/>
    <x v="6"/>
    <n v="0"/>
    <x v="4"/>
    <x v="2"/>
    <s v="Lucknow"/>
  </r>
  <r>
    <n v="91052651"/>
    <s v="Shray Arya"/>
    <x v="2"/>
    <x v="13"/>
    <n v="9017"/>
    <x v="0"/>
    <x v="2"/>
    <x v="2"/>
    <x v="0"/>
    <x v="5"/>
    <n v="0"/>
    <x v="57"/>
    <x v="3"/>
    <s v="Bangalore"/>
  </r>
  <r>
    <n v="76777106"/>
    <s v="Yuvraj  Shah"/>
    <x v="1"/>
    <x v="277"/>
    <n v="5215"/>
    <x v="3"/>
    <x v="2"/>
    <x v="6"/>
    <x v="2"/>
    <x v="8"/>
    <n v="1"/>
    <x v="18"/>
    <x v="2"/>
    <s v="Kochi"/>
  </r>
  <r>
    <n v="80451053"/>
    <s v="Zara Deol"/>
    <x v="1"/>
    <x v="168"/>
    <n v="1062"/>
    <x v="3"/>
    <x v="2"/>
    <x v="5"/>
    <x v="1"/>
    <x v="8"/>
    <n v="1"/>
    <x v="44"/>
    <x v="2"/>
    <s v="Kolkata"/>
  </r>
  <r>
    <n v="80481977"/>
    <s v="Badal Atwal"/>
    <x v="9"/>
    <x v="39"/>
    <n v="5852"/>
    <x v="3"/>
    <x v="0"/>
    <x v="4"/>
    <x v="2"/>
    <x v="7"/>
    <n v="0"/>
    <x v="80"/>
    <x v="5"/>
    <s v="Hyderabad"/>
  </r>
  <r>
    <n v="82032217"/>
    <s v="Farhan Setty"/>
    <x v="6"/>
    <x v="92"/>
    <n v="15847"/>
    <x v="1"/>
    <x v="4"/>
    <x v="5"/>
    <x v="3"/>
    <x v="5"/>
    <n v="1"/>
    <x v="29"/>
    <x v="5"/>
    <s v="Ahmedabad"/>
  </r>
  <r>
    <n v="77310744"/>
    <s v="Indrans Madan"/>
    <x v="4"/>
    <x v="286"/>
    <n v="12157"/>
    <x v="1"/>
    <x v="1"/>
    <x v="8"/>
    <x v="3"/>
    <x v="4"/>
    <n v="1"/>
    <x v="83"/>
    <x v="0"/>
    <s v="Lucknow"/>
  </r>
  <r>
    <n v="47503865"/>
    <s v="Nitara Batra"/>
    <x v="5"/>
    <x v="318"/>
    <n v="10578"/>
    <x v="0"/>
    <x v="4"/>
    <x v="6"/>
    <x v="0"/>
    <x v="1"/>
    <n v="1"/>
    <x v="33"/>
    <x v="0"/>
    <s v="Chennai"/>
  </r>
  <r>
    <n v="69264315"/>
    <s v="Vivaan Solanki"/>
    <x v="3"/>
    <x v="319"/>
    <n v="13228"/>
    <x v="0"/>
    <x v="4"/>
    <x v="0"/>
    <x v="1"/>
    <x v="6"/>
    <n v="0"/>
    <x v="68"/>
    <x v="1"/>
    <s v="Mumbai"/>
  </r>
  <r>
    <n v="41287373"/>
    <s v="Jayan Kaur"/>
    <x v="6"/>
    <x v="205"/>
    <n v="11592"/>
    <x v="1"/>
    <x v="0"/>
    <x v="7"/>
    <x v="1"/>
    <x v="7"/>
    <n v="1"/>
    <x v="51"/>
    <x v="3"/>
    <s v="Mumbai"/>
  </r>
  <r>
    <n v="13346982"/>
    <s v="Alisha Hegde"/>
    <x v="1"/>
    <x v="184"/>
    <n v="16657"/>
    <x v="2"/>
    <x v="4"/>
    <x v="3"/>
    <x v="3"/>
    <x v="7"/>
    <n v="0"/>
    <x v="68"/>
    <x v="3"/>
    <s v="Jaipur"/>
  </r>
  <r>
    <n v="47944420"/>
    <s v="Anahita Ganesan"/>
    <x v="2"/>
    <x v="148"/>
    <n v="9485"/>
    <x v="1"/>
    <x v="3"/>
    <x v="0"/>
    <x v="3"/>
    <x v="6"/>
    <n v="0"/>
    <x v="1"/>
    <x v="0"/>
    <s v="Hyderabad"/>
  </r>
  <r>
    <n v="71496213"/>
    <s v="Samaira Rau"/>
    <x v="1"/>
    <x v="2"/>
    <n v="13370"/>
    <x v="0"/>
    <x v="3"/>
    <x v="5"/>
    <x v="3"/>
    <x v="3"/>
    <n v="0"/>
    <x v="30"/>
    <x v="0"/>
    <s v="Kolkata"/>
  </r>
  <r>
    <n v="32599662"/>
    <s v="Taimur Apte"/>
    <x v="0"/>
    <x v="317"/>
    <n v="21129"/>
    <x v="0"/>
    <x v="3"/>
    <x v="3"/>
    <x v="1"/>
    <x v="4"/>
    <n v="0"/>
    <x v="32"/>
    <x v="3"/>
    <s v="Kolkata"/>
  </r>
  <r>
    <n v="48483340"/>
    <s v="Pihu Dora"/>
    <x v="2"/>
    <x v="320"/>
    <n v="15727"/>
    <x v="3"/>
    <x v="4"/>
    <x v="7"/>
    <x v="1"/>
    <x v="5"/>
    <n v="1"/>
    <x v="78"/>
    <x v="1"/>
    <s v="Lucknow"/>
  </r>
  <r>
    <n v="42067822"/>
    <s v="Urvi Uppal"/>
    <x v="2"/>
    <x v="97"/>
    <n v="23124"/>
    <x v="0"/>
    <x v="3"/>
    <x v="2"/>
    <x v="2"/>
    <x v="6"/>
    <n v="0"/>
    <x v="26"/>
    <x v="5"/>
    <s v="Kolkata"/>
  </r>
  <r>
    <n v="16525667"/>
    <s v="Yuvraj  Chada"/>
    <x v="1"/>
    <x v="83"/>
    <n v="20090"/>
    <x v="2"/>
    <x v="3"/>
    <x v="8"/>
    <x v="1"/>
    <x v="8"/>
    <n v="1"/>
    <x v="77"/>
    <x v="4"/>
    <s v="Ahmedabad"/>
  </r>
  <r>
    <n v="82279791"/>
    <s v="Keya Balay"/>
    <x v="9"/>
    <x v="139"/>
    <n v="19252"/>
    <x v="1"/>
    <x v="0"/>
    <x v="1"/>
    <x v="0"/>
    <x v="1"/>
    <n v="1"/>
    <x v="39"/>
    <x v="5"/>
    <s v="Jaipur"/>
  </r>
  <r>
    <n v="53891024"/>
    <s v="Arhaan Rout"/>
    <x v="1"/>
    <x v="198"/>
    <n v="6270"/>
    <x v="1"/>
    <x v="4"/>
    <x v="8"/>
    <x v="0"/>
    <x v="6"/>
    <n v="0"/>
    <x v="75"/>
    <x v="1"/>
    <s v="Kochi"/>
  </r>
  <r>
    <n v="20281851"/>
    <s v="Tejas Ray"/>
    <x v="5"/>
    <x v="302"/>
    <n v="180"/>
    <x v="2"/>
    <x v="1"/>
    <x v="9"/>
    <x v="0"/>
    <x v="5"/>
    <n v="0"/>
    <x v="6"/>
    <x v="5"/>
    <s v="Mumbai"/>
  </r>
  <r>
    <n v="18389557"/>
    <s v="Akarsh Dâ€™Alia"/>
    <x v="7"/>
    <x v="184"/>
    <n v="3806"/>
    <x v="0"/>
    <x v="2"/>
    <x v="9"/>
    <x v="1"/>
    <x v="2"/>
    <n v="1"/>
    <x v="79"/>
    <x v="0"/>
    <s v="Kolkata"/>
  </r>
  <r>
    <n v="68179256"/>
    <s v="Tanya Swaminathan"/>
    <x v="5"/>
    <x v="321"/>
    <n v="10835"/>
    <x v="1"/>
    <x v="1"/>
    <x v="7"/>
    <x v="3"/>
    <x v="3"/>
    <n v="1"/>
    <x v="33"/>
    <x v="3"/>
    <s v="Chennai"/>
  </r>
  <r>
    <n v="31493804"/>
    <s v="Himmat Raj"/>
    <x v="3"/>
    <x v="322"/>
    <n v="21884"/>
    <x v="3"/>
    <x v="4"/>
    <x v="5"/>
    <x v="0"/>
    <x v="8"/>
    <n v="0"/>
    <x v="76"/>
    <x v="5"/>
    <s v="Delhi"/>
  </r>
  <r>
    <n v="83427419"/>
    <s v="Myra Vala"/>
    <x v="4"/>
    <x v="225"/>
    <n v="11920"/>
    <x v="3"/>
    <x v="1"/>
    <x v="1"/>
    <x v="1"/>
    <x v="6"/>
    <n v="1"/>
    <x v="58"/>
    <x v="2"/>
    <s v="Kolkata"/>
  </r>
  <r>
    <n v="95573178"/>
    <s v="Shalv Sarin"/>
    <x v="4"/>
    <x v="40"/>
    <n v="4068"/>
    <x v="1"/>
    <x v="0"/>
    <x v="4"/>
    <x v="3"/>
    <x v="2"/>
    <n v="1"/>
    <x v="32"/>
    <x v="0"/>
    <s v="Lucknow"/>
  </r>
  <r>
    <n v="83660005"/>
    <s v="Misha Karan"/>
    <x v="3"/>
    <x v="229"/>
    <n v="12282"/>
    <x v="0"/>
    <x v="0"/>
    <x v="5"/>
    <x v="3"/>
    <x v="5"/>
    <n v="0"/>
    <x v="84"/>
    <x v="5"/>
    <s v="Mumbai"/>
  </r>
  <r>
    <n v="18331510"/>
    <s v="Nirvaan Varty"/>
    <x v="2"/>
    <x v="163"/>
    <n v="4345"/>
    <x v="1"/>
    <x v="2"/>
    <x v="5"/>
    <x v="3"/>
    <x v="2"/>
    <n v="0"/>
    <x v="57"/>
    <x v="5"/>
    <s v="Chennai"/>
  </r>
  <r>
    <n v="51866629"/>
    <s v="Aniruddh Raj"/>
    <x v="5"/>
    <x v="65"/>
    <n v="3353"/>
    <x v="1"/>
    <x v="4"/>
    <x v="5"/>
    <x v="2"/>
    <x v="4"/>
    <n v="0"/>
    <x v="54"/>
    <x v="5"/>
    <s v="Delhi"/>
  </r>
  <r>
    <n v="38943483"/>
    <s v="Anvi Venkatesh"/>
    <x v="2"/>
    <x v="94"/>
    <n v="14235"/>
    <x v="1"/>
    <x v="0"/>
    <x v="1"/>
    <x v="3"/>
    <x v="6"/>
    <n v="0"/>
    <x v="19"/>
    <x v="2"/>
    <s v="Jaipur"/>
  </r>
  <r>
    <n v="96013243"/>
    <s v="Zain Bahl"/>
    <x v="4"/>
    <x v="170"/>
    <n v="2622"/>
    <x v="3"/>
    <x v="1"/>
    <x v="0"/>
    <x v="2"/>
    <x v="6"/>
    <n v="0"/>
    <x v="47"/>
    <x v="3"/>
    <s v="Hyderabad"/>
  </r>
  <r>
    <n v="49372632"/>
    <s v="Rania Krish"/>
    <x v="5"/>
    <x v="291"/>
    <n v="16363"/>
    <x v="1"/>
    <x v="1"/>
    <x v="8"/>
    <x v="1"/>
    <x v="0"/>
    <n v="0"/>
    <x v="43"/>
    <x v="5"/>
    <s v="Hyderabad"/>
  </r>
  <r>
    <n v="92704665"/>
    <s v="Nayantara Butala"/>
    <x v="9"/>
    <x v="198"/>
    <n v="24002"/>
    <x v="1"/>
    <x v="3"/>
    <x v="2"/>
    <x v="0"/>
    <x v="6"/>
    <n v="0"/>
    <x v="57"/>
    <x v="1"/>
    <s v="Delhi"/>
  </r>
  <r>
    <n v="57761872"/>
    <s v="Gatik Lala"/>
    <x v="8"/>
    <x v="62"/>
    <n v="21678"/>
    <x v="1"/>
    <x v="0"/>
    <x v="8"/>
    <x v="0"/>
    <x v="7"/>
    <n v="1"/>
    <x v="43"/>
    <x v="4"/>
    <s v="Bangalore"/>
  </r>
  <r>
    <n v="28048463"/>
    <s v="Nayantara Manda"/>
    <x v="8"/>
    <x v="315"/>
    <n v="3067"/>
    <x v="2"/>
    <x v="0"/>
    <x v="0"/>
    <x v="2"/>
    <x v="0"/>
    <n v="1"/>
    <x v="57"/>
    <x v="4"/>
    <s v="Jaipur"/>
  </r>
  <r>
    <n v="63624162"/>
    <s v="Abram Sinha"/>
    <x v="2"/>
    <x v="224"/>
    <n v="20794"/>
    <x v="0"/>
    <x v="4"/>
    <x v="2"/>
    <x v="3"/>
    <x v="7"/>
    <n v="1"/>
    <x v="50"/>
    <x v="4"/>
    <s v="Kochi"/>
  </r>
  <r>
    <n v="29573000"/>
    <s v="Gatik Sura"/>
    <x v="2"/>
    <x v="220"/>
    <n v="19948"/>
    <x v="0"/>
    <x v="3"/>
    <x v="4"/>
    <x v="1"/>
    <x v="4"/>
    <n v="0"/>
    <x v="46"/>
    <x v="5"/>
    <s v="Kolkata"/>
  </r>
  <r>
    <n v="27458335"/>
    <s v="Shayak Bhavsar"/>
    <x v="8"/>
    <x v="64"/>
    <n v="20667"/>
    <x v="0"/>
    <x v="2"/>
    <x v="8"/>
    <x v="2"/>
    <x v="2"/>
    <n v="0"/>
    <x v="45"/>
    <x v="0"/>
    <s v="Bangalore"/>
  </r>
  <r>
    <n v="64199193"/>
    <s v="Renee Raval"/>
    <x v="5"/>
    <x v="49"/>
    <n v="7872"/>
    <x v="3"/>
    <x v="1"/>
    <x v="8"/>
    <x v="1"/>
    <x v="7"/>
    <n v="0"/>
    <x v="14"/>
    <x v="0"/>
    <s v="Bangalore"/>
  </r>
  <r>
    <n v="36827337"/>
    <s v="Vanya Dara"/>
    <x v="9"/>
    <x v="226"/>
    <n v="1117"/>
    <x v="0"/>
    <x v="4"/>
    <x v="5"/>
    <x v="3"/>
    <x v="1"/>
    <n v="1"/>
    <x v="15"/>
    <x v="1"/>
    <s v="Delhi"/>
  </r>
  <r>
    <n v="91094131"/>
    <s v="Rohan Shanker"/>
    <x v="7"/>
    <x v="151"/>
    <n v="21078"/>
    <x v="0"/>
    <x v="2"/>
    <x v="1"/>
    <x v="0"/>
    <x v="0"/>
    <n v="1"/>
    <x v="56"/>
    <x v="5"/>
    <s v="Jaipur"/>
  </r>
  <r>
    <n v="41177201"/>
    <s v="Saira Babu"/>
    <x v="3"/>
    <x v="64"/>
    <n v="3727"/>
    <x v="1"/>
    <x v="3"/>
    <x v="2"/>
    <x v="3"/>
    <x v="4"/>
    <n v="0"/>
    <x v="50"/>
    <x v="4"/>
    <s v="Delhi"/>
  </r>
  <r>
    <n v="29170605"/>
    <s v="Himmat Sastry"/>
    <x v="0"/>
    <x v="209"/>
    <n v="19893"/>
    <x v="1"/>
    <x v="4"/>
    <x v="7"/>
    <x v="2"/>
    <x v="7"/>
    <n v="0"/>
    <x v="12"/>
    <x v="2"/>
    <s v="Kochi"/>
  </r>
  <r>
    <n v="47882218"/>
    <s v="Charvi Subramaniam"/>
    <x v="3"/>
    <x v="321"/>
    <n v="12304"/>
    <x v="1"/>
    <x v="2"/>
    <x v="0"/>
    <x v="2"/>
    <x v="2"/>
    <n v="0"/>
    <x v="80"/>
    <x v="0"/>
    <s v="Mumbai"/>
  </r>
  <r>
    <n v="14870479"/>
    <s v="Tanya Sengupta"/>
    <x v="2"/>
    <x v="168"/>
    <n v="1762"/>
    <x v="3"/>
    <x v="1"/>
    <x v="0"/>
    <x v="2"/>
    <x v="8"/>
    <n v="1"/>
    <x v="64"/>
    <x v="2"/>
    <s v="Mumbai"/>
  </r>
  <r>
    <n v="45380272"/>
    <s v="Himmat Dey"/>
    <x v="7"/>
    <x v="297"/>
    <n v="16089"/>
    <x v="1"/>
    <x v="0"/>
    <x v="6"/>
    <x v="3"/>
    <x v="5"/>
    <n v="1"/>
    <x v="13"/>
    <x v="5"/>
    <s v="Delhi"/>
  </r>
  <r>
    <n v="18887213"/>
    <s v="Tarini Biswas"/>
    <x v="8"/>
    <x v="323"/>
    <n v="10891"/>
    <x v="1"/>
    <x v="0"/>
    <x v="2"/>
    <x v="0"/>
    <x v="8"/>
    <n v="0"/>
    <x v="51"/>
    <x v="5"/>
    <s v="Ahmedabad"/>
  </r>
  <r>
    <n v="46325671"/>
    <s v="Oorja Yadav"/>
    <x v="3"/>
    <x v="160"/>
    <n v="20624"/>
    <x v="0"/>
    <x v="2"/>
    <x v="9"/>
    <x v="0"/>
    <x v="6"/>
    <n v="0"/>
    <x v="35"/>
    <x v="1"/>
    <s v="Chennai"/>
  </r>
  <r>
    <n v="94879573"/>
    <s v="Amira Baral"/>
    <x v="7"/>
    <x v="277"/>
    <n v="8454"/>
    <x v="2"/>
    <x v="2"/>
    <x v="2"/>
    <x v="2"/>
    <x v="4"/>
    <n v="0"/>
    <x v="83"/>
    <x v="5"/>
    <s v="Bangalore"/>
  </r>
  <r>
    <n v="73400497"/>
    <s v="Prisha Guha"/>
    <x v="5"/>
    <x v="211"/>
    <n v="18321"/>
    <x v="0"/>
    <x v="2"/>
    <x v="4"/>
    <x v="2"/>
    <x v="2"/>
    <n v="0"/>
    <x v="73"/>
    <x v="2"/>
    <s v="Kochi"/>
  </r>
  <r>
    <n v="57496079"/>
    <s v="Anaya Kumer"/>
    <x v="3"/>
    <x v="277"/>
    <n v="10793"/>
    <x v="1"/>
    <x v="1"/>
    <x v="9"/>
    <x v="0"/>
    <x v="0"/>
    <n v="0"/>
    <x v="8"/>
    <x v="3"/>
    <s v="Delhi"/>
  </r>
  <r>
    <n v="40029636"/>
    <s v="Chirag Balay"/>
    <x v="4"/>
    <x v="324"/>
    <n v="10401"/>
    <x v="3"/>
    <x v="3"/>
    <x v="7"/>
    <x v="2"/>
    <x v="0"/>
    <n v="1"/>
    <x v="33"/>
    <x v="0"/>
    <s v="Jaipur"/>
  </r>
  <r>
    <n v="82160957"/>
    <s v="Purab Manne"/>
    <x v="1"/>
    <x v="191"/>
    <n v="10775"/>
    <x v="1"/>
    <x v="0"/>
    <x v="7"/>
    <x v="0"/>
    <x v="2"/>
    <n v="0"/>
    <x v="46"/>
    <x v="0"/>
    <s v="Ahmedabad"/>
  </r>
  <r>
    <n v="76793921"/>
    <s v="Ela Gour"/>
    <x v="3"/>
    <x v="133"/>
    <n v="8316"/>
    <x v="3"/>
    <x v="2"/>
    <x v="8"/>
    <x v="0"/>
    <x v="1"/>
    <n v="0"/>
    <x v="1"/>
    <x v="4"/>
    <s v="Mumbai"/>
  </r>
  <r>
    <n v="19279621"/>
    <s v="Oorja Bora"/>
    <x v="1"/>
    <x v="56"/>
    <n v="15110"/>
    <x v="1"/>
    <x v="1"/>
    <x v="8"/>
    <x v="2"/>
    <x v="6"/>
    <n v="0"/>
    <x v="40"/>
    <x v="4"/>
    <s v="Chennai"/>
  </r>
  <r>
    <n v="50816687"/>
    <s v="Aaryahi Sami"/>
    <x v="0"/>
    <x v="185"/>
    <n v="8801"/>
    <x v="1"/>
    <x v="2"/>
    <x v="5"/>
    <x v="1"/>
    <x v="7"/>
    <n v="0"/>
    <x v="53"/>
    <x v="5"/>
    <s v="Bangalore"/>
  </r>
  <r>
    <n v="31882664"/>
    <s v="Alia Kothari"/>
    <x v="7"/>
    <x v="88"/>
    <n v="23792"/>
    <x v="2"/>
    <x v="2"/>
    <x v="3"/>
    <x v="0"/>
    <x v="5"/>
    <n v="0"/>
    <x v="1"/>
    <x v="1"/>
    <s v="Kolkata"/>
  </r>
  <r>
    <n v="29671694"/>
    <s v="Kanav Mahal"/>
    <x v="5"/>
    <x v="109"/>
    <n v="12186"/>
    <x v="1"/>
    <x v="0"/>
    <x v="1"/>
    <x v="2"/>
    <x v="6"/>
    <n v="0"/>
    <x v="82"/>
    <x v="4"/>
    <s v="Ahmedabad"/>
  </r>
  <r>
    <n v="58675429"/>
    <s v="Manikya Krishnan"/>
    <x v="8"/>
    <x v="92"/>
    <n v="7593"/>
    <x v="1"/>
    <x v="2"/>
    <x v="5"/>
    <x v="0"/>
    <x v="8"/>
    <n v="0"/>
    <x v="66"/>
    <x v="2"/>
    <s v="Mumbai"/>
  </r>
  <r>
    <n v="31587238"/>
    <s v="Misha Grover"/>
    <x v="5"/>
    <x v="106"/>
    <n v="10363"/>
    <x v="2"/>
    <x v="2"/>
    <x v="4"/>
    <x v="1"/>
    <x v="2"/>
    <n v="0"/>
    <x v="73"/>
    <x v="3"/>
    <s v="Kolkata"/>
  </r>
  <r>
    <n v="22121504"/>
    <s v="Samiha Reddy"/>
    <x v="8"/>
    <x v="56"/>
    <n v="21621"/>
    <x v="1"/>
    <x v="3"/>
    <x v="9"/>
    <x v="1"/>
    <x v="4"/>
    <n v="1"/>
    <x v="70"/>
    <x v="0"/>
    <s v="Jaipur"/>
  </r>
  <r>
    <n v="81338162"/>
    <s v="Vanya Chaudry"/>
    <x v="4"/>
    <x v="204"/>
    <n v="18578"/>
    <x v="2"/>
    <x v="4"/>
    <x v="4"/>
    <x v="1"/>
    <x v="1"/>
    <n v="1"/>
    <x v="50"/>
    <x v="0"/>
    <s v="Jaipur"/>
  </r>
  <r>
    <n v="73425853"/>
    <s v="Hazel Lall"/>
    <x v="0"/>
    <x v="179"/>
    <n v="11694"/>
    <x v="0"/>
    <x v="1"/>
    <x v="9"/>
    <x v="3"/>
    <x v="2"/>
    <n v="1"/>
    <x v="2"/>
    <x v="5"/>
    <s v="Lucknow"/>
  </r>
  <r>
    <n v="21714950"/>
    <s v="Faiyaz Dutt"/>
    <x v="7"/>
    <x v="170"/>
    <n v="23582"/>
    <x v="3"/>
    <x v="0"/>
    <x v="3"/>
    <x v="3"/>
    <x v="7"/>
    <n v="0"/>
    <x v="16"/>
    <x v="3"/>
    <s v="Ahmedabad"/>
  </r>
  <r>
    <n v="52521022"/>
    <s v="Trisha Manda"/>
    <x v="2"/>
    <x v="247"/>
    <n v="8236"/>
    <x v="3"/>
    <x v="3"/>
    <x v="0"/>
    <x v="3"/>
    <x v="0"/>
    <n v="0"/>
    <x v="8"/>
    <x v="1"/>
    <s v="Bangalore"/>
  </r>
  <r>
    <n v="58075513"/>
    <s v="Dhanush Yogi"/>
    <x v="8"/>
    <x v="325"/>
    <n v="16401"/>
    <x v="0"/>
    <x v="0"/>
    <x v="0"/>
    <x v="1"/>
    <x v="5"/>
    <n v="0"/>
    <x v="47"/>
    <x v="3"/>
    <s v="Lucknow"/>
  </r>
  <r>
    <n v="64858252"/>
    <s v="Pranay Shukla"/>
    <x v="0"/>
    <x v="233"/>
    <n v="15285"/>
    <x v="1"/>
    <x v="2"/>
    <x v="8"/>
    <x v="2"/>
    <x v="4"/>
    <n v="0"/>
    <x v="82"/>
    <x v="2"/>
    <s v="Delhi"/>
  </r>
  <r>
    <n v="46221163"/>
    <s v="Hiran Kara"/>
    <x v="3"/>
    <x v="194"/>
    <n v="3833"/>
    <x v="1"/>
    <x v="1"/>
    <x v="0"/>
    <x v="0"/>
    <x v="8"/>
    <n v="1"/>
    <x v="8"/>
    <x v="3"/>
    <s v="Delhi"/>
  </r>
  <r>
    <n v="57955001"/>
    <s v="Amani De"/>
    <x v="1"/>
    <x v="11"/>
    <n v="5666"/>
    <x v="2"/>
    <x v="4"/>
    <x v="7"/>
    <x v="3"/>
    <x v="6"/>
    <n v="1"/>
    <x v="57"/>
    <x v="2"/>
    <s v="Bangalore"/>
  </r>
  <r>
    <n v="97454164"/>
    <s v="Sahil Dutta"/>
    <x v="4"/>
    <x v="153"/>
    <n v="22718"/>
    <x v="2"/>
    <x v="4"/>
    <x v="7"/>
    <x v="1"/>
    <x v="1"/>
    <n v="0"/>
    <x v="5"/>
    <x v="1"/>
    <s v="Hyderabad"/>
  </r>
  <r>
    <n v="78136034"/>
    <s v="Neysa Contractor"/>
    <x v="3"/>
    <x v="326"/>
    <n v="17021"/>
    <x v="3"/>
    <x v="0"/>
    <x v="9"/>
    <x v="3"/>
    <x v="4"/>
    <n v="1"/>
    <x v="25"/>
    <x v="5"/>
    <s v="Mumbai"/>
  </r>
  <r>
    <n v="98973711"/>
    <s v="Hunar Dewan"/>
    <x v="9"/>
    <x v="147"/>
    <n v="12577"/>
    <x v="0"/>
    <x v="4"/>
    <x v="3"/>
    <x v="3"/>
    <x v="7"/>
    <n v="1"/>
    <x v="75"/>
    <x v="5"/>
    <s v="Lucknow"/>
  </r>
  <r>
    <n v="92200801"/>
    <s v="Sahil Sha"/>
    <x v="2"/>
    <x v="235"/>
    <n v="4937"/>
    <x v="1"/>
    <x v="4"/>
    <x v="8"/>
    <x v="3"/>
    <x v="2"/>
    <n v="0"/>
    <x v="46"/>
    <x v="3"/>
    <s v="Hyderabad"/>
  </r>
  <r>
    <n v="78545342"/>
    <s v="Hiran Chhabra"/>
    <x v="4"/>
    <x v="109"/>
    <n v="14630"/>
    <x v="0"/>
    <x v="1"/>
    <x v="9"/>
    <x v="0"/>
    <x v="6"/>
    <n v="1"/>
    <x v="37"/>
    <x v="5"/>
    <s v="Jaipur"/>
  </r>
  <r>
    <n v="97841329"/>
    <s v="Madhup Hari"/>
    <x v="0"/>
    <x v="155"/>
    <n v="4451"/>
    <x v="0"/>
    <x v="3"/>
    <x v="9"/>
    <x v="2"/>
    <x v="0"/>
    <n v="0"/>
    <x v="84"/>
    <x v="1"/>
    <s v="Lucknow"/>
  </r>
  <r>
    <n v="85377268"/>
    <s v="Bhamini Rattan"/>
    <x v="7"/>
    <x v="38"/>
    <n v="23206"/>
    <x v="1"/>
    <x v="2"/>
    <x v="2"/>
    <x v="1"/>
    <x v="8"/>
    <n v="0"/>
    <x v="62"/>
    <x v="3"/>
    <s v="Kolkata"/>
  </r>
  <r>
    <n v="63355418"/>
    <s v="Samarth Kashyap"/>
    <x v="4"/>
    <x v="168"/>
    <n v="7005"/>
    <x v="1"/>
    <x v="0"/>
    <x v="3"/>
    <x v="2"/>
    <x v="8"/>
    <n v="1"/>
    <x v="41"/>
    <x v="0"/>
    <s v="Hyderabad"/>
  </r>
  <r>
    <n v="57526517"/>
    <s v="Amani Ganesh"/>
    <x v="4"/>
    <x v="64"/>
    <n v="4469"/>
    <x v="3"/>
    <x v="1"/>
    <x v="2"/>
    <x v="2"/>
    <x v="0"/>
    <n v="1"/>
    <x v="39"/>
    <x v="3"/>
    <s v="Bangalore"/>
  </r>
  <r>
    <n v="76740429"/>
    <s v="Armaan Mann"/>
    <x v="7"/>
    <x v="238"/>
    <n v="18446"/>
    <x v="1"/>
    <x v="2"/>
    <x v="6"/>
    <x v="3"/>
    <x v="7"/>
    <n v="0"/>
    <x v="12"/>
    <x v="5"/>
    <s v="Lucknow"/>
  </r>
  <r>
    <n v="65356976"/>
    <s v="Sara Bhat"/>
    <x v="8"/>
    <x v="185"/>
    <n v="1577"/>
    <x v="0"/>
    <x v="2"/>
    <x v="1"/>
    <x v="0"/>
    <x v="3"/>
    <n v="1"/>
    <x v="83"/>
    <x v="5"/>
    <s v="Kolkata"/>
  </r>
  <r>
    <n v="37186316"/>
    <s v="Manikya Walla"/>
    <x v="3"/>
    <x v="136"/>
    <n v="23754"/>
    <x v="1"/>
    <x v="2"/>
    <x v="8"/>
    <x v="3"/>
    <x v="0"/>
    <n v="0"/>
    <x v="46"/>
    <x v="5"/>
    <s v="Lucknow"/>
  </r>
  <r>
    <n v="68360977"/>
    <s v="Ishaan Kar"/>
    <x v="3"/>
    <x v="327"/>
    <n v="20636"/>
    <x v="1"/>
    <x v="1"/>
    <x v="8"/>
    <x v="0"/>
    <x v="1"/>
    <n v="0"/>
    <x v="63"/>
    <x v="1"/>
    <s v="Chennai"/>
  </r>
  <r>
    <n v="62089973"/>
    <s v="Badal Master"/>
    <x v="4"/>
    <x v="317"/>
    <n v="4324"/>
    <x v="3"/>
    <x v="3"/>
    <x v="9"/>
    <x v="2"/>
    <x v="2"/>
    <n v="1"/>
    <x v="35"/>
    <x v="4"/>
    <s v="Hyderabad"/>
  </r>
  <r>
    <n v="63117028"/>
    <s v="Jiya Johal"/>
    <x v="2"/>
    <x v="95"/>
    <n v="4431"/>
    <x v="1"/>
    <x v="4"/>
    <x v="3"/>
    <x v="2"/>
    <x v="8"/>
    <n v="0"/>
    <x v="0"/>
    <x v="5"/>
    <s v="Bangalore"/>
  </r>
  <r>
    <n v="95672041"/>
    <s v="Ryan Butala"/>
    <x v="0"/>
    <x v="167"/>
    <n v="8508"/>
    <x v="0"/>
    <x v="1"/>
    <x v="3"/>
    <x v="3"/>
    <x v="0"/>
    <n v="0"/>
    <x v="15"/>
    <x v="3"/>
    <s v="Ahmedabad"/>
  </r>
  <r>
    <n v="39138843"/>
    <s v="Saanvi Samra"/>
    <x v="3"/>
    <x v="128"/>
    <n v="10544"/>
    <x v="3"/>
    <x v="4"/>
    <x v="0"/>
    <x v="0"/>
    <x v="5"/>
    <n v="0"/>
    <x v="48"/>
    <x v="2"/>
    <s v="Kolkata"/>
  </r>
  <r>
    <n v="24571755"/>
    <s v="Jayan Maharaj"/>
    <x v="0"/>
    <x v="73"/>
    <n v="7396"/>
    <x v="0"/>
    <x v="2"/>
    <x v="9"/>
    <x v="1"/>
    <x v="0"/>
    <n v="1"/>
    <x v="77"/>
    <x v="3"/>
    <s v="Kochi"/>
  </r>
  <r>
    <n v="94418942"/>
    <s v="Dhanuk Chowdhury"/>
    <x v="6"/>
    <x v="206"/>
    <n v="3535"/>
    <x v="3"/>
    <x v="3"/>
    <x v="9"/>
    <x v="0"/>
    <x v="4"/>
    <n v="1"/>
    <x v="24"/>
    <x v="4"/>
    <s v="Mumbai"/>
  </r>
  <r>
    <n v="28811563"/>
    <s v="Mehul Sura"/>
    <x v="6"/>
    <x v="26"/>
    <n v="10173"/>
    <x v="1"/>
    <x v="1"/>
    <x v="6"/>
    <x v="2"/>
    <x v="8"/>
    <n v="1"/>
    <x v="74"/>
    <x v="5"/>
    <s v="Kolkata"/>
  </r>
  <r>
    <n v="77488384"/>
    <s v="Rohan Mann"/>
    <x v="1"/>
    <x v="126"/>
    <n v="4198"/>
    <x v="0"/>
    <x v="4"/>
    <x v="5"/>
    <x v="3"/>
    <x v="5"/>
    <n v="0"/>
    <x v="10"/>
    <x v="5"/>
    <s v="Bangalore"/>
  </r>
  <r>
    <n v="97861968"/>
    <s v="Gatik Bhalla"/>
    <x v="5"/>
    <x v="328"/>
    <n v="22823"/>
    <x v="1"/>
    <x v="0"/>
    <x v="8"/>
    <x v="1"/>
    <x v="3"/>
    <n v="0"/>
    <x v="84"/>
    <x v="1"/>
    <s v="Kochi"/>
  </r>
  <r>
    <n v="22109498"/>
    <s v="Anaya Chowdhury"/>
    <x v="1"/>
    <x v="234"/>
    <n v="19176"/>
    <x v="3"/>
    <x v="0"/>
    <x v="0"/>
    <x v="1"/>
    <x v="4"/>
    <n v="0"/>
    <x v="54"/>
    <x v="4"/>
    <s v="Bangalore"/>
  </r>
  <r>
    <n v="93430625"/>
    <s v="Adira Kalita"/>
    <x v="6"/>
    <x v="135"/>
    <n v="12041"/>
    <x v="3"/>
    <x v="4"/>
    <x v="7"/>
    <x v="0"/>
    <x v="2"/>
    <n v="0"/>
    <x v="65"/>
    <x v="1"/>
    <s v="Hyderabad"/>
  </r>
  <r>
    <n v="67890089"/>
    <s v="Farhan Dayal"/>
    <x v="4"/>
    <x v="53"/>
    <n v="11619"/>
    <x v="1"/>
    <x v="4"/>
    <x v="6"/>
    <x v="1"/>
    <x v="1"/>
    <n v="1"/>
    <x v="78"/>
    <x v="1"/>
    <s v="Kochi"/>
  </r>
  <r>
    <n v="19790532"/>
    <s v="Dhruv Bail"/>
    <x v="0"/>
    <x v="81"/>
    <n v="16497"/>
    <x v="2"/>
    <x v="0"/>
    <x v="3"/>
    <x v="0"/>
    <x v="2"/>
    <n v="0"/>
    <x v="5"/>
    <x v="0"/>
    <s v="Hyderabad"/>
  </r>
  <r>
    <n v="22466907"/>
    <s v="Amira Goel"/>
    <x v="1"/>
    <x v="4"/>
    <n v="23643"/>
    <x v="1"/>
    <x v="4"/>
    <x v="7"/>
    <x v="2"/>
    <x v="7"/>
    <n v="1"/>
    <x v="53"/>
    <x v="4"/>
    <s v="Kolkata"/>
  </r>
  <r>
    <n v="95940980"/>
    <s v="Manjari Keer"/>
    <x v="5"/>
    <x v="285"/>
    <n v="9278"/>
    <x v="3"/>
    <x v="0"/>
    <x v="0"/>
    <x v="0"/>
    <x v="0"/>
    <n v="0"/>
    <x v="8"/>
    <x v="4"/>
    <s v="Mumbai"/>
  </r>
  <r>
    <n v="29248809"/>
    <s v="Romil Kari"/>
    <x v="3"/>
    <x v="43"/>
    <n v="9573"/>
    <x v="2"/>
    <x v="2"/>
    <x v="5"/>
    <x v="1"/>
    <x v="7"/>
    <n v="0"/>
    <x v="67"/>
    <x v="3"/>
    <s v="Kochi"/>
  </r>
  <r>
    <n v="80441406"/>
    <s v="Lagan Sen"/>
    <x v="0"/>
    <x v="176"/>
    <n v="6523"/>
    <x v="1"/>
    <x v="0"/>
    <x v="5"/>
    <x v="0"/>
    <x v="1"/>
    <n v="1"/>
    <x v="83"/>
    <x v="2"/>
    <s v="Ahmedabad"/>
  </r>
  <r>
    <n v="58034509"/>
    <s v="Taimur Tank"/>
    <x v="0"/>
    <x v="212"/>
    <n v="19185"/>
    <x v="1"/>
    <x v="3"/>
    <x v="4"/>
    <x v="2"/>
    <x v="0"/>
    <n v="0"/>
    <x v="75"/>
    <x v="0"/>
    <s v="Lucknow"/>
  </r>
  <r>
    <n v="49968462"/>
    <s v="Dharmajan Dixit"/>
    <x v="9"/>
    <x v="142"/>
    <n v="16613"/>
    <x v="0"/>
    <x v="1"/>
    <x v="8"/>
    <x v="2"/>
    <x v="6"/>
    <n v="0"/>
    <x v="52"/>
    <x v="0"/>
    <s v="Jaipur"/>
  </r>
  <r>
    <n v="95705408"/>
    <s v="Yakshit Chaudry"/>
    <x v="1"/>
    <x v="63"/>
    <n v="1403"/>
    <x v="0"/>
    <x v="1"/>
    <x v="6"/>
    <x v="2"/>
    <x v="6"/>
    <n v="0"/>
    <x v="5"/>
    <x v="4"/>
    <s v="Kolkata"/>
  </r>
  <r>
    <n v="73152649"/>
    <s v="Vidur Rajan"/>
    <x v="0"/>
    <x v="119"/>
    <n v="11253"/>
    <x v="3"/>
    <x v="1"/>
    <x v="3"/>
    <x v="2"/>
    <x v="4"/>
    <n v="1"/>
    <x v="4"/>
    <x v="1"/>
    <s v="Bangalore"/>
  </r>
  <r>
    <n v="18778131"/>
    <s v="Advik Bhatt"/>
    <x v="5"/>
    <x v="140"/>
    <n v="20506"/>
    <x v="1"/>
    <x v="4"/>
    <x v="0"/>
    <x v="1"/>
    <x v="5"/>
    <n v="1"/>
    <x v="18"/>
    <x v="5"/>
    <s v="Ahmedabad"/>
  </r>
  <r>
    <n v="56395905"/>
    <s v="Jiya Sathe"/>
    <x v="9"/>
    <x v="202"/>
    <n v="11454"/>
    <x v="0"/>
    <x v="3"/>
    <x v="6"/>
    <x v="3"/>
    <x v="4"/>
    <n v="0"/>
    <x v="77"/>
    <x v="0"/>
    <s v="Bangalore"/>
  </r>
  <r>
    <n v="46797288"/>
    <s v="Ojas Kumer"/>
    <x v="4"/>
    <x v="329"/>
    <n v="11992"/>
    <x v="3"/>
    <x v="4"/>
    <x v="2"/>
    <x v="0"/>
    <x v="7"/>
    <n v="1"/>
    <x v="76"/>
    <x v="5"/>
    <s v="Hyderabad"/>
  </r>
  <r>
    <n v="22950350"/>
    <s v="Lavanya Borde"/>
    <x v="2"/>
    <x v="281"/>
    <n v="11108"/>
    <x v="2"/>
    <x v="4"/>
    <x v="4"/>
    <x v="1"/>
    <x v="2"/>
    <n v="1"/>
    <x v="16"/>
    <x v="5"/>
    <s v="Kochi"/>
  </r>
  <r>
    <n v="79039194"/>
    <s v="Arhaan Comar"/>
    <x v="2"/>
    <x v="270"/>
    <n v="21210"/>
    <x v="0"/>
    <x v="4"/>
    <x v="2"/>
    <x v="2"/>
    <x v="8"/>
    <n v="1"/>
    <x v="30"/>
    <x v="0"/>
    <s v="Delhi"/>
  </r>
  <r>
    <n v="90123495"/>
    <s v="Manjari Andra"/>
    <x v="2"/>
    <x v="11"/>
    <n v="4534"/>
    <x v="1"/>
    <x v="2"/>
    <x v="0"/>
    <x v="1"/>
    <x v="2"/>
    <n v="0"/>
    <x v="46"/>
    <x v="3"/>
    <s v="Kolkata"/>
  </r>
  <r>
    <n v="22084603"/>
    <s v="Zain Atwal"/>
    <x v="7"/>
    <x v="330"/>
    <n v="23133"/>
    <x v="1"/>
    <x v="0"/>
    <x v="7"/>
    <x v="3"/>
    <x v="8"/>
    <n v="0"/>
    <x v="38"/>
    <x v="5"/>
    <s v="Kolkata"/>
  </r>
  <r>
    <n v="96130124"/>
    <s v="Krish Ghose"/>
    <x v="6"/>
    <x v="268"/>
    <n v="24815"/>
    <x v="1"/>
    <x v="0"/>
    <x v="2"/>
    <x v="0"/>
    <x v="6"/>
    <n v="1"/>
    <x v="26"/>
    <x v="3"/>
    <s v="Delhi"/>
  </r>
  <r>
    <n v="35924873"/>
    <s v="Divyansh Kunda"/>
    <x v="6"/>
    <x v="109"/>
    <n v="12330"/>
    <x v="1"/>
    <x v="4"/>
    <x v="6"/>
    <x v="1"/>
    <x v="0"/>
    <n v="1"/>
    <x v="21"/>
    <x v="2"/>
    <s v="Mumbai"/>
  </r>
  <r>
    <n v="47161136"/>
    <s v="Taran Vasa"/>
    <x v="7"/>
    <x v="271"/>
    <n v="23243"/>
    <x v="3"/>
    <x v="1"/>
    <x v="5"/>
    <x v="0"/>
    <x v="5"/>
    <n v="0"/>
    <x v="75"/>
    <x v="0"/>
    <s v="Ahmedabad"/>
  </r>
  <r>
    <n v="99637192"/>
    <s v="Ritvik Jaggi"/>
    <x v="4"/>
    <x v="163"/>
    <n v="6898"/>
    <x v="1"/>
    <x v="2"/>
    <x v="6"/>
    <x v="1"/>
    <x v="3"/>
    <n v="0"/>
    <x v="30"/>
    <x v="3"/>
    <s v="Ahmedabad"/>
  </r>
  <r>
    <n v="99832267"/>
    <s v="Nitya Viswanathan"/>
    <x v="1"/>
    <x v="327"/>
    <n v="15780"/>
    <x v="0"/>
    <x v="1"/>
    <x v="9"/>
    <x v="2"/>
    <x v="0"/>
    <n v="1"/>
    <x v="43"/>
    <x v="0"/>
    <s v="Kochi"/>
  </r>
  <r>
    <n v="81386473"/>
    <s v="Azad Bhakta"/>
    <x v="5"/>
    <x v="173"/>
    <n v="10013"/>
    <x v="0"/>
    <x v="3"/>
    <x v="0"/>
    <x v="2"/>
    <x v="7"/>
    <n v="0"/>
    <x v="50"/>
    <x v="3"/>
    <s v="Kolkata"/>
  </r>
  <r>
    <n v="86279476"/>
    <s v="Bhamini Sane"/>
    <x v="1"/>
    <x v="274"/>
    <n v="15062"/>
    <x v="0"/>
    <x v="3"/>
    <x v="8"/>
    <x v="1"/>
    <x v="7"/>
    <n v="0"/>
    <x v="48"/>
    <x v="0"/>
    <s v="Kochi"/>
  </r>
  <r>
    <n v="86139527"/>
    <s v="Shray Wason"/>
    <x v="7"/>
    <x v="68"/>
    <n v="13589"/>
    <x v="1"/>
    <x v="3"/>
    <x v="0"/>
    <x v="1"/>
    <x v="8"/>
    <n v="0"/>
    <x v="29"/>
    <x v="4"/>
    <s v="Jaipur"/>
  </r>
  <r>
    <n v="61520502"/>
    <s v="Bhavin Edwin"/>
    <x v="5"/>
    <x v="176"/>
    <n v="15862"/>
    <x v="0"/>
    <x v="2"/>
    <x v="3"/>
    <x v="1"/>
    <x v="3"/>
    <n v="0"/>
    <x v="78"/>
    <x v="4"/>
    <s v="Hyderabad"/>
  </r>
  <r>
    <n v="67288188"/>
    <s v="Devansh Gaba"/>
    <x v="0"/>
    <x v="228"/>
    <n v="17076"/>
    <x v="0"/>
    <x v="1"/>
    <x v="5"/>
    <x v="1"/>
    <x v="4"/>
    <n v="0"/>
    <x v="80"/>
    <x v="1"/>
    <s v="Kolkata"/>
  </r>
  <r>
    <n v="20030226"/>
    <s v="Ivana Goyal"/>
    <x v="1"/>
    <x v="227"/>
    <n v="8815"/>
    <x v="1"/>
    <x v="0"/>
    <x v="9"/>
    <x v="0"/>
    <x v="7"/>
    <n v="1"/>
    <x v="62"/>
    <x v="1"/>
    <s v="Delhi"/>
  </r>
  <r>
    <n v="45339073"/>
    <s v="Faiyaz Gandhi"/>
    <x v="3"/>
    <x v="171"/>
    <n v="6267"/>
    <x v="1"/>
    <x v="3"/>
    <x v="1"/>
    <x v="1"/>
    <x v="7"/>
    <n v="0"/>
    <x v="65"/>
    <x v="0"/>
    <s v="Mumbai"/>
  </r>
  <r>
    <n v="46574827"/>
    <s v="Vedika Lal"/>
    <x v="6"/>
    <x v="229"/>
    <n v="17517"/>
    <x v="1"/>
    <x v="0"/>
    <x v="3"/>
    <x v="0"/>
    <x v="6"/>
    <n v="0"/>
    <x v="10"/>
    <x v="1"/>
    <s v="Kolkata"/>
  </r>
  <r>
    <n v="33345455"/>
    <s v="Aniruddh Shukla"/>
    <x v="7"/>
    <x v="202"/>
    <n v="17498"/>
    <x v="1"/>
    <x v="0"/>
    <x v="8"/>
    <x v="2"/>
    <x v="6"/>
    <n v="0"/>
    <x v="60"/>
    <x v="2"/>
    <s v="Bangalore"/>
  </r>
  <r>
    <n v="93599229"/>
    <s v="Aniruddh Chowdhury"/>
    <x v="2"/>
    <x v="297"/>
    <n v="17843"/>
    <x v="3"/>
    <x v="4"/>
    <x v="8"/>
    <x v="1"/>
    <x v="6"/>
    <n v="1"/>
    <x v="70"/>
    <x v="2"/>
    <s v="Ahmedabad"/>
  </r>
  <r>
    <n v="68226584"/>
    <s v="Uthkarsh Wagle"/>
    <x v="9"/>
    <x v="112"/>
    <n v="13701"/>
    <x v="3"/>
    <x v="3"/>
    <x v="6"/>
    <x v="3"/>
    <x v="2"/>
    <n v="0"/>
    <x v="44"/>
    <x v="0"/>
    <s v="Bangalore"/>
  </r>
  <r>
    <n v="92133314"/>
    <s v="Mamooty Saha"/>
    <x v="6"/>
    <x v="289"/>
    <n v="4682"/>
    <x v="0"/>
    <x v="1"/>
    <x v="6"/>
    <x v="1"/>
    <x v="7"/>
    <n v="0"/>
    <x v="16"/>
    <x v="2"/>
    <s v="Mumbai"/>
  </r>
  <r>
    <n v="20025625"/>
    <s v="Manjari Gera"/>
    <x v="3"/>
    <x v="331"/>
    <n v="22272"/>
    <x v="1"/>
    <x v="4"/>
    <x v="2"/>
    <x v="2"/>
    <x v="6"/>
    <n v="1"/>
    <x v="0"/>
    <x v="1"/>
    <s v="Chennai"/>
  </r>
  <r>
    <n v="78357827"/>
    <s v="Parinaaz Dara"/>
    <x v="5"/>
    <x v="332"/>
    <n v="9433"/>
    <x v="3"/>
    <x v="4"/>
    <x v="4"/>
    <x v="1"/>
    <x v="7"/>
    <n v="0"/>
    <x v="33"/>
    <x v="0"/>
    <s v="Delhi"/>
  </r>
  <r>
    <n v="75628843"/>
    <s v="Devansh Jayaraman"/>
    <x v="2"/>
    <x v="16"/>
    <n v="3360"/>
    <x v="0"/>
    <x v="2"/>
    <x v="3"/>
    <x v="0"/>
    <x v="4"/>
    <n v="1"/>
    <x v="25"/>
    <x v="0"/>
    <s v="Ahmedabad"/>
  </r>
  <r>
    <n v="18725341"/>
    <s v="Kabir Bera"/>
    <x v="6"/>
    <x v="173"/>
    <n v="10393"/>
    <x v="0"/>
    <x v="2"/>
    <x v="3"/>
    <x v="3"/>
    <x v="8"/>
    <n v="0"/>
    <x v="75"/>
    <x v="4"/>
    <s v="Lucknow"/>
  </r>
  <r>
    <n v="51976755"/>
    <s v="Pari Lal"/>
    <x v="5"/>
    <x v="111"/>
    <n v="22195"/>
    <x v="1"/>
    <x v="1"/>
    <x v="4"/>
    <x v="1"/>
    <x v="3"/>
    <n v="0"/>
    <x v="13"/>
    <x v="2"/>
    <s v="Bangalore"/>
  </r>
  <r>
    <n v="97836055"/>
    <s v="Anvi Bhagat"/>
    <x v="6"/>
    <x v="329"/>
    <n v="22151"/>
    <x v="0"/>
    <x v="4"/>
    <x v="2"/>
    <x v="3"/>
    <x v="1"/>
    <n v="0"/>
    <x v="65"/>
    <x v="1"/>
    <s v="Jaipur"/>
  </r>
  <r>
    <n v="33055896"/>
    <s v="Baiju Chokshi"/>
    <x v="7"/>
    <x v="80"/>
    <n v="1757"/>
    <x v="2"/>
    <x v="0"/>
    <x v="9"/>
    <x v="2"/>
    <x v="5"/>
    <n v="0"/>
    <x v="22"/>
    <x v="3"/>
    <s v="Hyderabad"/>
  </r>
  <r>
    <n v="65935965"/>
    <s v="Veer Iyengar"/>
    <x v="8"/>
    <x v="266"/>
    <n v="6419"/>
    <x v="1"/>
    <x v="3"/>
    <x v="8"/>
    <x v="1"/>
    <x v="7"/>
    <n v="1"/>
    <x v="80"/>
    <x v="1"/>
    <s v="Ahmedabad"/>
  </r>
  <r>
    <n v="39257362"/>
    <s v="Aaina Bahri"/>
    <x v="4"/>
    <x v="167"/>
    <n v="9526"/>
    <x v="0"/>
    <x v="0"/>
    <x v="4"/>
    <x v="1"/>
    <x v="1"/>
    <n v="1"/>
    <x v="44"/>
    <x v="3"/>
    <s v="Chennai"/>
  </r>
  <r>
    <n v="84773723"/>
    <s v="Nirvaan Dass"/>
    <x v="7"/>
    <x v="232"/>
    <n v="13216"/>
    <x v="0"/>
    <x v="1"/>
    <x v="5"/>
    <x v="0"/>
    <x v="1"/>
    <n v="0"/>
    <x v="46"/>
    <x v="3"/>
    <s v="Bangalore"/>
  </r>
  <r>
    <n v="16730991"/>
    <s v="Mannat Mand"/>
    <x v="8"/>
    <x v="333"/>
    <n v="6593"/>
    <x v="0"/>
    <x v="4"/>
    <x v="9"/>
    <x v="0"/>
    <x v="0"/>
    <n v="0"/>
    <x v="61"/>
    <x v="1"/>
    <s v="Kochi"/>
  </r>
  <r>
    <n v="83808522"/>
    <s v="Sana Bhatnagar"/>
    <x v="5"/>
    <x v="66"/>
    <n v="23077"/>
    <x v="1"/>
    <x v="2"/>
    <x v="8"/>
    <x v="1"/>
    <x v="3"/>
    <n v="0"/>
    <x v="2"/>
    <x v="4"/>
    <s v="Bangalore"/>
  </r>
  <r>
    <n v="36747250"/>
    <s v="Renee Walia"/>
    <x v="7"/>
    <x v="102"/>
    <n v="12988"/>
    <x v="0"/>
    <x v="2"/>
    <x v="1"/>
    <x v="1"/>
    <x v="0"/>
    <n v="0"/>
    <x v="64"/>
    <x v="0"/>
    <s v="Lucknow"/>
  </r>
  <r>
    <n v="27083114"/>
    <s v="Dhanush Tella"/>
    <x v="9"/>
    <x v="39"/>
    <n v="14659"/>
    <x v="3"/>
    <x v="0"/>
    <x v="8"/>
    <x v="1"/>
    <x v="5"/>
    <n v="0"/>
    <x v="56"/>
    <x v="5"/>
    <s v="Ahmedabad"/>
  </r>
  <r>
    <n v="57769848"/>
    <s v="Yakshit Chowdhury"/>
    <x v="6"/>
    <x v="334"/>
    <n v="12748"/>
    <x v="1"/>
    <x v="2"/>
    <x v="9"/>
    <x v="0"/>
    <x v="2"/>
    <n v="0"/>
    <x v="50"/>
    <x v="1"/>
    <s v="Mumbai"/>
  </r>
  <r>
    <n v="58776639"/>
    <s v="Jivika Cheema"/>
    <x v="9"/>
    <x v="35"/>
    <n v="12265"/>
    <x v="3"/>
    <x v="4"/>
    <x v="1"/>
    <x v="1"/>
    <x v="0"/>
    <n v="1"/>
    <x v="39"/>
    <x v="4"/>
    <s v="Mumbai"/>
  </r>
  <r>
    <n v="69427779"/>
    <s v="Bhamini Tella"/>
    <x v="0"/>
    <x v="189"/>
    <n v="11983"/>
    <x v="1"/>
    <x v="2"/>
    <x v="1"/>
    <x v="2"/>
    <x v="6"/>
    <n v="0"/>
    <x v="76"/>
    <x v="0"/>
    <s v="Kolkata"/>
  </r>
  <r>
    <n v="47205617"/>
    <s v="Farhan Vyas"/>
    <x v="2"/>
    <x v="92"/>
    <n v="6391"/>
    <x v="2"/>
    <x v="4"/>
    <x v="5"/>
    <x v="2"/>
    <x v="4"/>
    <n v="0"/>
    <x v="32"/>
    <x v="0"/>
    <s v="Hyderabad"/>
  </r>
  <r>
    <n v="64096945"/>
    <s v="Saanvi Dugal"/>
    <x v="2"/>
    <x v="96"/>
    <n v="5760"/>
    <x v="3"/>
    <x v="1"/>
    <x v="5"/>
    <x v="1"/>
    <x v="5"/>
    <n v="1"/>
    <x v="26"/>
    <x v="2"/>
    <s v="Mumbai"/>
  </r>
  <r>
    <n v="56030978"/>
    <s v="Devansh Devi"/>
    <x v="1"/>
    <x v="181"/>
    <n v="919"/>
    <x v="1"/>
    <x v="3"/>
    <x v="8"/>
    <x v="0"/>
    <x v="5"/>
    <n v="1"/>
    <x v="12"/>
    <x v="0"/>
    <s v="Delhi"/>
  </r>
  <r>
    <n v="49061138"/>
    <s v="Madhup Bahl"/>
    <x v="5"/>
    <x v="143"/>
    <n v="11414"/>
    <x v="0"/>
    <x v="2"/>
    <x v="0"/>
    <x v="2"/>
    <x v="4"/>
    <n v="0"/>
    <x v="76"/>
    <x v="5"/>
    <s v="Mumbai"/>
  </r>
  <r>
    <n v="87995417"/>
    <s v="Lakshit Keer"/>
    <x v="9"/>
    <x v="15"/>
    <n v="23264"/>
    <x v="2"/>
    <x v="0"/>
    <x v="8"/>
    <x v="2"/>
    <x v="1"/>
    <n v="0"/>
    <x v="34"/>
    <x v="1"/>
    <s v="Bangalore"/>
  </r>
  <r>
    <n v="36608792"/>
    <s v="Suhana Sarma"/>
    <x v="3"/>
    <x v="317"/>
    <n v="22626"/>
    <x v="1"/>
    <x v="1"/>
    <x v="5"/>
    <x v="1"/>
    <x v="5"/>
    <n v="1"/>
    <x v="73"/>
    <x v="2"/>
    <s v="Hyderabad"/>
  </r>
  <r>
    <n v="92815995"/>
    <s v="Kabir Sangha"/>
    <x v="7"/>
    <x v="40"/>
    <n v="13514"/>
    <x v="3"/>
    <x v="3"/>
    <x v="7"/>
    <x v="1"/>
    <x v="2"/>
    <n v="1"/>
    <x v="3"/>
    <x v="5"/>
    <s v="Kochi"/>
  </r>
  <r>
    <n v="48840379"/>
    <s v="Dhanush Dani"/>
    <x v="4"/>
    <x v="335"/>
    <n v="24816"/>
    <x v="3"/>
    <x v="0"/>
    <x v="7"/>
    <x v="3"/>
    <x v="6"/>
    <n v="0"/>
    <x v="39"/>
    <x v="4"/>
    <s v="Kolkata"/>
  </r>
  <r>
    <n v="58077967"/>
    <s v="Saanvi Ben"/>
    <x v="3"/>
    <x v="314"/>
    <n v="24050"/>
    <x v="1"/>
    <x v="1"/>
    <x v="7"/>
    <x v="0"/>
    <x v="6"/>
    <n v="0"/>
    <x v="53"/>
    <x v="0"/>
    <s v="Jaipur"/>
  </r>
  <r>
    <n v="45877763"/>
    <s v="Ivan Kannan"/>
    <x v="9"/>
    <x v="202"/>
    <n v="22050"/>
    <x v="3"/>
    <x v="0"/>
    <x v="6"/>
    <x v="1"/>
    <x v="4"/>
    <n v="0"/>
    <x v="81"/>
    <x v="0"/>
    <s v="Lucknow"/>
  </r>
  <r>
    <n v="49422966"/>
    <s v="Nakul Bala"/>
    <x v="1"/>
    <x v="111"/>
    <n v="7965"/>
    <x v="1"/>
    <x v="1"/>
    <x v="6"/>
    <x v="1"/>
    <x v="7"/>
    <n v="1"/>
    <x v="36"/>
    <x v="3"/>
    <s v="Jaipur"/>
  </r>
  <r>
    <n v="40344854"/>
    <s v="Emir Bhatia"/>
    <x v="8"/>
    <x v="275"/>
    <n v="14035"/>
    <x v="1"/>
    <x v="4"/>
    <x v="6"/>
    <x v="2"/>
    <x v="2"/>
    <n v="1"/>
    <x v="59"/>
    <x v="0"/>
    <s v="Jaipur"/>
  </r>
  <r>
    <n v="48518201"/>
    <s v="Prisha Bumb"/>
    <x v="6"/>
    <x v="336"/>
    <n v="7150"/>
    <x v="1"/>
    <x v="4"/>
    <x v="0"/>
    <x v="2"/>
    <x v="0"/>
    <n v="0"/>
    <x v="41"/>
    <x v="2"/>
    <s v="Kochi"/>
  </r>
  <r>
    <n v="33093121"/>
    <s v="Eva Basu"/>
    <x v="6"/>
    <x v="231"/>
    <n v="23597"/>
    <x v="1"/>
    <x v="0"/>
    <x v="3"/>
    <x v="1"/>
    <x v="0"/>
    <n v="0"/>
    <x v="39"/>
    <x v="0"/>
    <s v="Chennai"/>
  </r>
  <r>
    <n v="76184043"/>
    <s v="Anahita Bedi"/>
    <x v="5"/>
    <x v="31"/>
    <n v="6846"/>
    <x v="3"/>
    <x v="1"/>
    <x v="2"/>
    <x v="0"/>
    <x v="2"/>
    <n v="0"/>
    <x v="64"/>
    <x v="3"/>
    <s v="Kolkata"/>
  </r>
  <r>
    <n v="28991995"/>
    <s v="Navya Thaker"/>
    <x v="8"/>
    <x v="158"/>
    <n v="10947"/>
    <x v="0"/>
    <x v="0"/>
    <x v="6"/>
    <x v="0"/>
    <x v="2"/>
    <n v="0"/>
    <x v="60"/>
    <x v="2"/>
    <s v="Kolkata"/>
  </r>
  <r>
    <n v="27293877"/>
    <s v="Saksham Som"/>
    <x v="2"/>
    <x v="68"/>
    <n v="11653"/>
    <x v="1"/>
    <x v="4"/>
    <x v="0"/>
    <x v="2"/>
    <x v="3"/>
    <n v="0"/>
    <x v="50"/>
    <x v="1"/>
    <s v="Mumbai"/>
  </r>
  <r>
    <n v="56349601"/>
    <s v="Ritvik Rege"/>
    <x v="1"/>
    <x v="178"/>
    <n v="15031"/>
    <x v="1"/>
    <x v="2"/>
    <x v="3"/>
    <x v="2"/>
    <x v="5"/>
    <n v="1"/>
    <x v="83"/>
    <x v="4"/>
    <s v="Hyderabad"/>
  </r>
  <r>
    <n v="47075519"/>
    <s v="Inaaya  Krishna"/>
    <x v="9"/>
    <x v="263"/>
    <n v="21851"/>
    <x v="0"/>
    <x v="2"/>
    <x v="7"/>
    <x v="1"/>
    <x v="0"/>
    <n v="1"/>
    <x v="0"/>
    <x v="1"/>
    <s v="Hyderabad"/>
  </r>
  <r>
    <n v="73480634"/>
    <s v="Jiya Balasubramanian"/>
    <x v="1"/>
    <x v="316"/>
    <n v="5004"/>
    <x v="0"/>
    <x v="1"/>
    <x v="7"/>
    <x v="0"/>
    <x v="8"/>
    <n v="1"/>
    <x v="44"/>
    <x v="4"/>
    <s v="Mumbai"/>
  </r>
  <r>
    <n v="35310518"/>
    <s v="Kismat Mall"/>
    <x v="2"/>
    <x v="206"/>
    <n v="4642"/>
    <x v="0"/>
    <x v="0"/>
    <x v="9"/>
    <x v="0"/>
    <x v="5"/>
    <n v="0"/>
    <x v="51"/>
    <x v="2"/>
    <s v="Delhi"/>
  </r>
  <r>
    <n v="84628232"/>
    <s v="Ojas Dave"/>
    <x v="0"/>
    <x v="305"/>
    <n v="10219"/>
    <x v="3"/>
    <x v="4"/>
    <x v="4"/>
    <x v="3"/>
    <x v="2"/>
    <n v="0"/>
    <x v="9"/>
    <x v="4"/>
    <s v="Jaipur"/>
  </r>
  <r>
    <n v="76257765"/>
    <s v="Rati Chacko"/>
    <x v="2"/>
    <x v="167"/>
    <n v="3223"/>
    <x v="1"/>
    <x v="0"/>
    <x v="5"/>
    <x v="0"/>
    <x v="1"/>
    <n v="0"/>
    <x v="52"/>
    <x v="2"/>
    <s v="Bangalore"/>
  </r>
  <r>
    <n v="80742105"/>
    <s v="Hazel Sahota"/>
    <x v="5"/>
    <x v="44"/>
    <n v="18187"/>
    <x v="0"/>
    <x v="1"/>
    <x v="6"/>
    <x v="1"/>
    <x v="4"/>
    <n v="0"/>
    <x v="56"/>
    <x v="1"/>
    <s v="Jaipur"/>
  </r>
  <r>
    <n v="36382905"/>
    <s v="Kaira Sibal"/>
    <x v="2"/>
    <x v="149"/>
    <n v="10092"/>
    <x v="1"/>
    <x v="2"/>
    <x v="3"/>
    <x v="1"/>
    <x v="7"/>
    <n v="1"/>
    <x v="84"/>
    <x v="0"/>
    <s v="Jaipur"/>
  </r>
  <r>
    <n v="89595991"/>
    <s v="Reyansh Ahuja"/>
    <x v="8"/>
    <x v="6"/>
    <n v="9361"/>
    <x v="0"/>
    <x v="0"/>
    <x v="6"/>
    <x v="1"/>
    <x v="7"/>
    <n v="0"/>
    <x v="52"/>
    <x v="0"/>
    <s v="Kochi"/>
  </r>
  <r>
    <n v="33499029"/>
    <s v="Nehmat Soni"/>
    <x v="5"/>
    <x v="337"/>
    <n v="20324"/>
    <x v="3"/>
    <x v="3"/>
    <x v="0"/>
    <x v="1"/>
    <x v="6"/>
    <n v="1"/>
    <x v="75"/>
    <x v="1"/>
    <s v="Kochi"/>
  </r>
  <r>
    <n v="42303312"/>
    <s v="Indrans Dhawan"/>
    <x v="7"/>
    <x v="168"/>
    <n v="15241"/>
    <x v="2"/>
    <x v="0"/>
    <x v="4"/>
    <x v="1"/>
    <x v="8"/>
    <n v="0"/>
    <x v="10"/>
    <x v="0"/>
    <s v="Delhi"/>
  </r>
  <r>
    <n v="64840600"/>
    <s v="Tushar Lata"/>
    <x v="3"/>
    <x v="338"/>
    <n v="23695"/>
    <x v="0"/>
    <x v="2"/>
    <x v="3"/>
    <x v="2"/>
    <x v="8"/>
    <n v="0"/>
    <x v="71"/>
    <x v="3"/>
    <s v="Ahmedabad"/>
  </r>
  <r>
    <n v="26623808"/>
    <s v="Nishith Hegde"/>
    <x v="4"/>
    <x v="140"/>
    <n v="4535"/>
    <x v="3"/>
    <x v="4"/>
    <x v="4"/>
    <x v="2"/>
    <x v="8"/>
    <n v="0"/>
    <x v="28"/>
    <x v="2"/>
    <s v="Bangalore"/>
  </r>
  <r>
    <n v="85480160"/>
    <s v="Zeeshan Chowdhury"/>
    <x v="5"/>
    <x v="246"/>
    <n v="4601"/>
    <x v="1"/>
    <x v="0"/>
    <x v="9"/>
    <x v="3"/>
    <x v="1"/>
    <n v="1"/>
    <x v="14"/>
    <x v="1"/>
    <s v="Lucknow"/>
  </r>
  <r>
    <n v="42542415"/>
    <s v="Kavya Arya"/>
    <x v="2"/>
    <x v="96"/>
    <n v="17285"/>
    <x v="0"/>
    <x v="0"/>
    <x v="5"/>
    <x v="1"/>
    <x v="2"/>
    <n v="0"/>
    <x v="40"/>
    <x v="1"/>
    <s v="Hyderabad"/>
  </r>
  <r>
    <n v="47492141"/>
    <s v="Vaibhav Sarkar"/>
    <x v="6"/>
    <x v="81"/>
    <n v="14452"/>
    <x v="0"/>
    <x v="0"/>
    <x v="8"/>
    <x v="1"/>
    <x v="4"/>
    <n v="0"/>
    <x v="40"/>
    <x v="3"/>
    <s v="Ahmedabad"/>
  </r>
  <r>
    <n v="60420300"/>
    <s v="Renee Majumdar"/>
    <x v="1"/>
    <x v="311"/>
    <n v="8161"/>
    <x v="3"/>
    <x v="2"/>
    <x v="6"/>
    <x v="3"/>
    <x v="0"/>
    <n v="0"/>
    <x v="35"/>
    <x v="1"/>
    <s v="Delhi"/>
  </r>
  <r>
    <n v="18238848"/>
    <s v="Ojas Andra"/>
    <x v="4"/>
    <x v="9"/>
    <n v="6528"/>
    <x v="1"/>
    <x v="0"/>
    <x v="7"/>
    <x v="0"/>
    <x v="5"/>
    <n v="0"/>
    <x v="81"/>
    <x v="3"/>
    <s v="Delhi"/>
  </r>
  <r>
    <n v="97173283"/>
    <s v="Aaina Saran"/>
    <x v="6"/>
    <x v="71"/>
    <n v="1372"/>
    <x v="1"/>
    <x v="0"/>
    <x v="8"/>
    <x v="2"/>
    <x v="4"/>
    <n v="1"/>
    <x v="1"/>
    <x v="4"/>
    <s v="Kochi"/>
  </r>
  <r>
    <n v="79411431"/>
    <s v="Tanya Sundaram"/>
    <x v="3"/>
    <x v="332"/>
    <n v="4478"/>
    <x v="1"/>
    <x v="1"/>
    <x v="6"/>
    <x v="3"/>
    <x v="4"/>
    <n v="1"/>
    <x v="75"/>
    <x v="5"/>
    <s v="Chennai"/>
  </r>
  <r>
    <n v="12785496"/>
    <s v="Himmat Vaidya"/>
    <x v="3"/>
    <x v="8"/>
    <n v="3793"/>
    <x v="0"/>
    <x v="2"/>
    <x v="9"/>
    <x v="3"/>
    <x v="0"/>
    <n v="0"/>
    <x v="13"/>
    <x v="4"/>
    <s v="Ahmedabad"/>
  </r>
  <r>
    <n v="87779931"/>
    <s v="Neelofar Tara"/>
    <x v="6"/>
    <x v="180"/>
    <n v="19588"/>
    <x v="0"/>
    <x v="0"/>
    <x v="3"/>
    <x v="2"/>
    <x v="8"/>
    <n v="0"/>
    <x v="80"/>
    <x v="0"/>
    <s v="Kochi"/>
  </r>
  <r>
    <n v="62701138"/>
    <s v="Jivin Sarkar"/>
    <x v="7"/>
    <x v="179"/>
    <n v="18939"/>
    <x v="0"/>
    <x v="1"/>
    <x v="0"/>
    <x v="0"/>
    <x v="0"/>
    <n v="1"/>
    <x v="82"/>
    <x v="5"/>
    <s v="Lucknow"/>
  </r>
  <r>
    <n v="28923849"/>
    <s v="Anahita Bera"/>
    <x v="2"/>
    <x v="0"/>
    <n v="8373"/>
    <x v="0"/>
    <x v="3"/>
    <x v="1"/>
    <x v="3"/>
    <x v="5"/>
    <n v="0"/>
    <x v="7"/>
    <x v="0"/>
    <s v="Delhi"/>
  </r>
  <r>
    <n v="19386380"/>
    <s v="Prerak Tak"/>
    <x v="5"/>
    <x v="99"/>
    <n v="10049"/>
    <x v="1"/>
    <x v="0"/>
    <x v="8"/>
    <x v="0"/>
    <x v="8"/>
    <n v="0"/>
    <x v="59"/>
    <x v="4"/>
    <s v="Kochi"/>
  </r>
  <r>
    <n v="79083625"/>
    <s v="Dharmajan Contractor"/>
    <x v="6"/>
    <x v="287"/>
    <n v="20832"/>
    <x v="0"/>
    <x v="1"/>
    <x v="3"/>
    <x v="0"/>
    <x v="8"/>
    <n v="0"/>
    <x v="84"/>
    <x v="5"/>
    <s v="Kochi"/>
  </r>
  <r>
    <n v="92670477"/>
    <s v="Azad Upadhyay"/>
    <x v="9"/>
    <x v="339"/>
    <n v="3270"/>
    <x v="3"/>
    <x v="0"/>
    <x v="5"/>
    <x v="0"/>
    <x v="5"/>
    <n v="0"/>
    <x v="26"/>
    <x v="1"/>
    <s v="Bangalore"/>
  </r>
  <r>
    <n v="86419140"/>
    <s v="Indranil Bhatnagar"/>
    <x v="2"/>
    <x v="135"/>
    <n v="7684"/>
    <x v="0"/>
    <x v="3"/>
    <x v="7"/>
    <x v="0"/>
    <x v="0"/>
    <n v="0"/>
    <x v="76"/>
    <x v="5"/>
    <s v="Bangalore"/>
  </r>
  <r>
    <n v="41523019"/>
    <s v="Anahita Bhattacharyya"/>
    <x v="2"/>
    <x v="208"/>
    <n v="6853"/>
    <x v="3"/>
    <x v="2"/>
    <x v="3"/>
    <x v="0"/>
    <x v="6"/>
    <n v="1"/>
    <x v="55"/>
    <x v="1"/>
    <s v="Ahmedabad"/>
  </r>
  <r>
    <n v="79633301"/>
    <s v="Kavya Gupta"/>
    <x v="4"/>
    <x v="325"/>
    <n v="21001"/>
    <x v="1"/>
    <x v="0"/>
    <x v="8"/>
    <x v="0"/>
    <x v="4"/>
    <n v="1"/>
    <x v="22"/>
    <x v="3"/>
    <s v="Bangalore"/>
  </r>
  <r>
    <n v="44719066"/>
    <s v="Hiran Krish"/>
    <x v="9"/>
    <x v="63"/>
    <n v="21178"/>
    <x v="1"/>
    <x v="0"/>
    <x v="5"/>
    <x v="1"/>
    <x v="0"/>
    <n v="1"/>
    <x v="75"/>
    <x v="2"/>
    <s v="Kochi"/>
  </r>
  <r>
    <n v="87026094"/>
    <s v="Krish Karnik"/>
    <x v="3"/>
    <x v="130"/>
    <n v="22380"/>
    <x v="3"/>
    <x v="1"/>
    <x v="5"/>
    <x v="3"/>
    <x v="8"/>
    <n v="0"/>
    <x v="13"/>
    <x v="3"/>
    <s v="Jaipur"/>
  </r>
  <r>
    <n v="37754644"/>
    <s v="Jivika Buch"/>
    <x v="4"/>
    <x v="70"/>
    <n v="23656"/>
    <x v="3"/>
    <x v="3"/>
    <x v="9"/>
    <x v="0"/>
    <x v="6"/>
    <n v="0"/>
    <x v="41"/>
    <x v="1"/>
    <s v="Hyderabad"/>
  </r>
  <r>
    <n v="27033994"/>
    <s v="Rasha Dash"/>
    <x v="1"/>
    <x v="291"/>
    <n v="20783"/>
    <x v="0"/>
    <x v="0"/>
    <x v="9"/>
    <x v="2"/>
    <x v="1"/>
    <n v="0"/>
    <x v="64"/>
    <x v="2"/>
    <s v="Hyderabad"/>
  </r>
  <r>
    <n v="52427008"/>
    <s v="Miraan Warrior"/>
    <x v="9"/>
    <x v="27"/>
    <n v="14677"/>
    <x v="1"/>
    <x v="4"/>
    <x v="8"/>
    <x v="1"/>
    <x v="2"/>
    <n v="1"/>
    <x v="43"/>
    <x v="1"/>
    <s v="Kolkata"/>
  </r>
  <r>
    <n v="39684259"/>
    <s v="Vivaan Singhal"/>
    <x v="5"/>
    <x v="189"/>
    <n v="19014"/>
    <x v="1"/>
    <x v="3"/>
    <x v="3"/>
    <x v="1"/>
    <x v="6"/>
    <n v="0"/>
    <x v="43"/>
    <x v="2"/>
    <s v="Delhi"/>
  </r>
  <r>
    <n v="43467568"/>
    <s v="Saksham Bahri"/>
    <x v="8"/>
    <x v="272"/>
    <n v="1304"/>
    <x v="1"/>
    <x v="2"/>
    <x v="6"/>
    <x v="3"/>
    <x v="3"/>
    <n v="0"/>
    <x v="66"/>
    <x v="2"/>
    <s v="Hyderabad"/>
  </r>
  <r>
    <n v="52773264"/>
    <s v="Vedika Bhavsar"/>
    <x v="4"/>
    <x v="85"/>
    <n v="5675"/>
    <x v="0"/>
    <x v="4"/>
    <x v="9"/>
    <x v="1"/>
    <x v="1"/>
    <n v="0"/>
    <x v="29"/>
    <x v="2"/>
    <s v="Kochi"/>
  </r>
  <r>
    <n v="54178667"/>
    <s v="Ojas Badami"/>
    <x v="7"/>
    <x v="58"/>
    <n v="1537"/>
    <x v="2"/>
    <x v="0"/>
    <x v="0"/>
    <x v="3"/>
    <x v="6"/>
    <n v="1"/>
    <x v="56"/>
    <x v="4"/>
    <s v="Jaipur"/>
  </r>
  <r>
    <n v="23368263"/>
    <s v="Shalv Buch"/>
    <x v="2"/>
    <x v="62"/>
    <n v="17836"/>
    <x v="1"/>
    <x v="2"/>
    <x v="1"/>
    <x v="2"/>
    <x v="8"/>
    <n v="0"/>
    <x v="67"/>
    <x v="0"/>
    <s v="Bangalore"/>
  </r>
  <r>
    <n v="47399949"/>
    <s v="Reyansh Andra"/>
    <x v="6"/>
    <x v="246"/>
    <n v="19966"/>
    <x v="3"/>
    <x v="1"/>
    <x v="5"/>
    <x v="0"/>
    <x v="5"/>
    <n v="0"/>
    <x v="60"/>
    <x v="0"/>
    <s v="Bangalore"/>
  </r>
  <r>
    <n v="47342812"/>
    <s v="Dharmajan Khare"/>
    <x v="7"/>
    <x v="93"/>
    <n v="2401"/>
    <x v="0"/>
    <x v="1"/>
    <x v="9"/>
    <x v="1"/>
    <x v="6"/>
    <n v="0"/>
    <x v="34"/>
    <x v="0"/>
    <s v="Mumbai"/>
  </r>
  <r>
    <n v="17716187"/>
    <s v="Kaira Jhaveri"/>
    <x v="3"/>
    <x v="226"/>
    <n v="3613"/>
    <x v="3"/>
    <x v="3"/>
    <x v="1"/>
    <x v="0"/>
    <x v="5"/>
    <n v="1"/>
    <x v="39"/>
    <x v="1"/>
    <s v="Mumbai"/>
  </r>
  <r>
    <n v="40423183"/>
    <s v="Zoya Walla"/>
    <x v="3"/>
    <x v="40"/>
    <n v="19333"/>
    <x v="3"/>
    <x v="0"/>
    <x v="5"/>
    <x v="2"/>
    <x v="2"/>
    <n v="0"/>
    <x v="21"/>
    <x v="4"/>
    <s v="Lucknow"/>
  </r>
  <r>
    <n v="63884097"/>
    <s v="Ishita Dora"/>
    <x v="1"/>
    <x v="333"/>
    <n v="12184"/>
    <x v="1"/>
    <x v="4"/>
    <x v="4"/>
    <x v="3"/>
    <x v="7"/>
    <n v="0"/>
    <x v="48"/>
    <x v="2"/>
    <s v="Bangalore"/>
  </r>
  <r>
    <n v="53843916"/>
    <s v="Renee Lalla"/>
    <x v="6"/>
    <x v="18"/>
    <n v="19484"/>
    <x v="1"/>
    <x v="1"/>
    <x v="6"/>
    <x v="0"/>
    <x v="5"/>
    <n v="0"/>
    <x v="37"/>
    <x v="4"/>
    <s v="Hyderabad"/>
  </r>
  <r>
    <n v="52014511"/>
    <s v="Sahil Sheth"/>
    <x v="3"/>
    <x v="81"/>
    <n v="12610"/>
    <x v="0"/>
    <x v="3"/>
    <x v="4"/>
    <x v="3"/>
    <x v="6"/>
    <n v="0"/>
    <x v="64"/>
    <x v="1"/>
    <s v="Lucknow"/>
  </r>
  <r>
    <n v="59397171"/>
    <s v="Manjari Chada"/>
    <x v="7"/>
    <x v="217"/>
    <n v="4669"/>
    <x v="2"/>
    <x v="3"/>
    <x v="7"/>
    <x v="3"/>
    <x v="2"/>
    <n v="1"/>
    <x v="23"/>
    <x v="2"/>
    <s v="Ahmedabad"/>
  </r>
  <r>
    <n v="66614536"/>
    <s v="Eva Rama"/>
    <x v="0"/>
    <x v="139"/>
    <n v="8294"/>
    <x v="3"/>
    <x v="3"/>
    <x v="4"/>
    <x v="0"/>
    <x v="6"/>
    <n v="0"/>
    <x v="26"/>
    <x v="1"/>
    <s v="Jaipur"/>
  </r>
  <r>
    <n v="93663014"/>
    <s v="Oorja Shanker"/>
    <x v="1"/>
    <x v="42"/>
    <n v="21076"/>
    <x v="0"/>
    <x v="1"/>
    <x v="3"/>
    <x v="3"/>
    <x v="5"/>
    <n v="0"/>
    <x v="71"/>
    <x v="0"/>
    <s v="Kolkata"/>
  </r>
  <r>
    <n v="94266555"/>
    <s v="Vritika Bobal"/>
    <x v="2"/>
    <x v="97"/>
    <n v="14191"/>
    <x v="0"/>
    <x v="1"/>
    <x v="0"/>
    <x v="1"/>
    <x v="0"/>
    <n v="0"/>
    <x v="68"/>
    <x v="0"/>
    <s v="Chennai"/>
  </r>
  <r>
    <n v="92037561"/>
    <s v="Sara Kakar"/>
    <x v="7"/>
    <x v="106"/>
    <n v="935"/>
    <x v="3"/>
    <x v="2"/>
    <x v="4"/>
    <x v="2"/>
    <x v="4"/>
    <n v="0"/>
    <x v="33"/>
    <x v="3"/>
    <s v="Lucknow"/>
  </r>
  <r>
    <n v="14827721"/>
    <s v="Arnav Ramakrishnan"/>
    <x v="1"/>
    <x v="340"/>
    <n v="7726"/>
    <x v="3"/>
    <x v="1"/>
    <x v="4"/>
    <x v="2"/>
    <x v="1"/>
    <n v="1"/>
    <x v="0"/>
    <x v="1"/>
    <s v="Lucknow"/>
  </r>
  <r>
    <n v="99203257"/>
    <s v="Jayan Dalal"/>
    <x v="0"/>
    <x v="37"/>
    <n v="2298"/>
    <x v="1"/>
    <x v="4"/>
    <x v="1"/>
    <x v="2"/>
    <x v="1"/>
    <n v="1"/>
    <x v="42"/>
    <x v="4"/>
    <s v="Kochi"/>
  </r>
  <r>
    <n v="86500721"/>
    <s v="Suhana Dasgupta"/>
    <x v="3"/>
    <x v="162"/>
    <n v="8824"/>
    <x v="0"/>
    <x v="2"/>
    <x v="9"/>
    <x v="1"/>
    <x v="8"/>
    <n v="0"/>
    <x v="59"/>
    <x v="0"/>
    <s v="Jaipur"/>
  </r>
  <r>
    <n v="93978655"/>
    <s v="Ahana  Reddy"/>
    <x v="0"/>
    <x v="120"/>
    <n v="15027"/>
    <x v="0"/>
    <x v="0"/>
    <x v="3"/>
    <x v="2"/>
    <x v="1"/>
    <n v="1"/>
    <x v="5"/>
    <x v="4"/>
    <s v="Kochi"/>
  </r>
  <r>
    <n v="17763500"/>
    <s v="Shalv Bahl"/>
    <x v="9"/>
    <x v="91"/>
    <n v="15858"/>
    <x v="0"/>
    <x v="2"/>
    <x v="6"/>
    <x v="0"/>
    <x v="4"/>
    <n v="0"/>
    <x v="81"/>
    <x v="0"/>
    <s v="Jaipur"/>
  </r>
  <r>
    <n v="35808328"/>
    <s v="Rati Tiwari"/>
    <x v="8"/>
    <x v="304"/>
    <n v="13385"/>
    <x v="1"/>
    <x v="0"/>
    <x v="1"/>
    <x v="2"/>
    <x v="2"/>
    <n v="0"/>
    <x v="75"/>
    <x v="3"/>
    <s v="Hyderabad"/>
  </r>
  <r>
    <n v="94561054"/>
    <s v="Lakshit Bumb"/>
    <x v="8"/>
    <x v="290"/>
    <n v="16090"/>
    <x v="2"/>
    <x v="2"/>
    <x v="4"/>
    <x v="3"/>
    <x v="5"/>
    <n v="1"/>
    <x v="57"/>
    <x v="5"/>
    <s v="Mumbai"/>
  </r>
  <r>
    <n v="80772767"/>
    <s v="Miraan Shenoy"/>
    <x v="5"/>
    <x v="19"/>
    <n v="1536"/>
    <x v="1"/>
    <x v="0"/>
    <x v="5"/>
    <x v="2"/>
    <x v="7"/>
    <n v="1"/>
    <x v="10"/>
    <x v="3"/>
    <s v="Chennai"/>
  </r>
  <r>
    <n v="83235352"/>
    <s v="Kaira Barman"/>
    <x v="6"/>
    <x v="28"/>
    <n v="19733"/>
    <x v="3"/>
    <x v="2"/>
    <x v="1"/>
    <x v="3"/>
    <x v="8"/>
    <n v="0"/>
    <x v="78"/>
    <x v="2"/>
    <s v="Mumbai"/>
  </r>
  <r>
    <n v="38463078"/>
    <s v="Zain Edwin"/>
    <x v="2"/>
    <x v="26"/>
    <n v="4182"/>
    <x v="1"/>
    <x v="0"/>
    <x v="6"/>
    <x v="2"/>
    <x v="0"/>
    <n v="0"/>
    <x v="14"/>
    <x v="3"/>
    <s v="Kochi"/>
  </r>
  <r>
    <n v="94608908"/>
    <s v="Anya Biswas"/>
    <x v="7"/>
    <x v="87"/>
    <n v="9825"/>
    <x v="1"/>
    <x v="4"/>
    <x v="5"/>
    <x v="2"/>
    <x v="6"/>
    <n v="0"/>
    <x v="44"/>
    <x v="4"/>
    <s v="Bangalore"/>
  </r>
  <r>
    <n v="44584698"/>
    <s v="Vidur Sharma"/>
    <x v="0"/>
    <x v="133"/>
    <n v="4379"/>
    <x v="1"/>
    <x v="4"/>
    <x v="5"/>
    <x v="3"/>
    <x v="4"/>
    <n v="0"/>
    <x v="72"/>
    <x v="5"/>
    <s v="Lucknow"/>
  </r>
  <r>
    <n v="46881959"/>
    <s v="Zeeshan Bansal"/>
    <x v="1"/>
    <x v="314"/>
    <n v="7015"/>
    <x v="1"/>
    <x v="3"/>
    <x v="5"/>
    <x v="2"/>
    <x v="7"/>
    <n v="1"/>
    <x v="11"/>
    <x v="5"/>
    <s v="Chennai"/>
  </r>
  <r>
    <n v="78459150"/>
    <s v="Divij Rajan"/>
    <x v="5"/>
    <x v="341"/>
    <n v="22216"/>
    <x v="3"/>
    <x v="3"/>
    <x v="5"/>
    <x v="2"/>
    <x v="7"/>
    <n v="0"/>
    <x v="61"/>
    <x v="4"/>
    <s v="Mumbai"/>
  </r>
  <r>
    <n v="50439285"/>
    <s v="Krish Kibe"/>
    <x v="4"/>
    <x v="266"/>
    <n v="12730"/>
    <x v="3"/>
    <x v="3"/>
    <x v="2"/>
    <x v="2"/>
    <x v="7"/>
    <n v="1"/>
    <x v="16"/>
    <x v="1"/>
    <s v="Ahmedabad"/>
  </r>
  <r>
    <n v="26655879"/>
    <s v="Nirvaan Zacharia"/>
    <x v="4"/>
    <x v="213"/>
    <n v="1496"/>
    <x v="1"/>
    <x v="3"/>
    <x v="9"/>
    <x v="2"/>
    <x v="5"/>
    <n v="0"/>
    <x v="80"/>
    <x v="5"/>
    <s v="Lucknow"/>
  </r>
  <r>
    <n v="38296444"/>
    <s v="Rohan Chad"/>
    <x v="9"/>
    <x v="307"/>
    <n v="13094"/>
    <x v="0"/>
    <x v="3"/>
    <x v="6"/>
    <x v="3"/>
    <x v="1"/>
    <n v="0"/>
    <x v="70"/>
    <x v="4"/>
    <s v="Ahmedabad"/>
  </r>
  <r>
    <n v="60568729"/>
    <s v="Manjari Chada"/>
    <x v="4"/>
    <x v="179"/>
    <n v="20781"/>
    <x v="3"/>
    <x v="0"/>
    <x v="4"/>
    <x v="2"/>
    <x v="2"/>
    <n v="1"/>
    <x v="10"/>
    <x v="0"/>
    <s v="Chennai"/>
  </r>
  <r>
    <n v="79704405"/>
    <s v="Navya Sastry"/>
    <x v="3"/>
    <x v="135"/>
    <n v="8083"/>
    <x v="1"/>
    <x v="3"/>
    <x v="5"/>
    <x v="3"/>
    <x v="2"/>
    <n v="0"/>
    <x v="19"/>
    <x v="2"/>
    <s v="Delhi"/>
  </r>
  <r>
    <n v="76369314"/>
    <s v="Nishith Solanki"/>
    <x v="0"/>
    <x v="6"/>
    <n v="21809"/>
    <x v="1"/>
    <x v="1"/>
    <x v="6"/>
    <x v="0"/>
    <x v="0"/>
    <n v="0"/>
    <x v="12"/>
    <x v="1"/>
    <s v="Kochi"/>
  </r>
  <r>
    <n v="39845026"/>
    <s v="Zain Sarkar"/>
    <x v="3"/>
    <x v="22"/>
    <n v="16883"/>
    <x v="3"/>
    <x v="2"/>
    <x v="7"/>
    <x v="2"/>
    <x v="6"/>
    <n v="0"/>
    <x v="40"/>
    <x v="3"/>
    <s v="Kochi"/>
  </r>
  <r>
    <n v="90309492"/>
    <s v="Prerak Kurian"/>
    <x v="2"/>
    <x v="68"/>
    <n v="3780"/>
    <x v="1"/>
    <x v="2"/>
    <x v="4"/>
    <x v="0"/>
    <x v="5"/>
    <n v="0"/>
    <x v="8"/>
    <x v="3"/>
    <s v="Jaipur"/>
  </r>
  <r>
    <n v="32933549"/>
    <s v="Kabir Grover"/>
    <x v="7"/>
    <x v="203"/>
    <n v="14172"/>
    <x v="1"/>
    <x v="0"/>
    <x v="5"/>
    <x v="2"/>
    <x v="7"/>
    <n v="0"/>
    <x v="54"/>
    <x v="0"/>
    <s v="Delhi"/>
  </r>
  <r>
    <n v="94935715"/>
    <s v="Rati Solanki"/>
    <x v="5"/>
    <x v="245"/>
    <n v="16338"/>
    <x v="0"/>
    <x v="0"/>
    <x v="4"/>
    <x v="3"/>
    <x v="4"/>
    <n v="1"/>
    <x v="42"/>
    <x v="4"/>
    <s v="Kolkata"/>
  </r>
  <r>
    <n v="16280115"/>
    <s v="Bhavin Bera"/>
    <x v="8"/>
    <x v="109"/>
    <n v="210"/>
    <x v="1"/>
    <x v="3"/>
    <x v="1"/>
    <x v="2"/>
    <x v="2"/>
    <n v="1"/>
    <x v="30"/>
    <x v="3"/>
    <s v="Kochi"/>
  </r>
  <r>
    <n v="25733018"/>
    <s v="Jhanvi Krish"/>
    <x v="4"/>
    <x v="39"/>
    <n v="18031"/>
    <x v="3"/>
    <x v="0"/>
    <x v="1"/>
    <x v="0"/>
    <x v="0"/>
    <n v="1"/>
    <x v="8"/>
    <x v="2"/>
    <s v="Hyderabad"/>
  </r>
  <r>
    <n v="92694849"/>
    <s v="Biju Shanker"/>
    <x v="1"/>
    <x v="226"/>
    <n v="4621"/>
    <x v="0"/>
    <x v="1"/>
    <x v="1"/>
    <x v="2"/>
    <x v="7"/>
    <n v="1"/>
    <x v="24"/>
    <x v="2"/>
    <s v="Chennai"/>
  </r>
  <r>
    <n v="72460926"/>
    <s v="Dhanuk Hegde"/>
    <x v="9"/>
    <x v="168"/>
    <n v="7013"/>
    <x v="1"/>
    <x v="0"/>
    <x v="8"/>
    <x v="0"/>
    <x v="4"/>
    <n v="0"/>
    <x v="62"/>
    <x v="0"/>
    <s v="Kochi"/>
  </r>
  <r>
    <n v="37850779"/>
    <s v="Pihu Sharaf"/>
    <x v="3"/>
    <x v="44"/>
    <n v="13582"/>
    <x v="0"/>
    <x v="0"/>
    <x v="2"/>
    <x v="2"/>
    <x v="0"/>
    <n v="0"/>
    <x v="42"/>
    <x v="1"/>
    <s v="Bangalore"/>
  </r>
  <r>
    <n v="71327616"/>
    <s v="Mahika Shanker"/>
    <x v="1"/>
    <x v="63"/>
    <n v="23861"/>
    <x v="1"/>
    <x v="3"/>
    <x v="6"/>
    <x v="2"/>
    <x v="5"/>
    <n v="0"/>
    <x v="6"/>
    <x v="4"/>
    <s v="Hyderabad"/>
  </r>
  <r>
    <n v="35704861"/>
    <s v="Anay Hayre"/>
    <x v="0"/>
    <x v="321"/>
    <n v="17243"/>
    <x v="3"/>
    <x v="4"/>
    <x v="2"/>
    <x v="3"/>
    <x v="5"/>
    <n v="0"/>
    <x v="5"/>
    <x v="3"/>
    <s v="Jaipur"/>
  </r>
  <r>
    <n v="39136871"/>
    <s v="Tejas Chandran"/>
    <x v="1"/>
    <x v="80"/>
    <n v="17618"/>
    <x v="0"/>
    <x v="3"/>
    <x v="2"/>
    <x v="0"/>
    <x v="7"/>
    <n v="0"/>
    <x v="78"/>
    <x v="0"/>
    <s v="Lucknow"/>
  </r>
  <r>
    <n v="32291394"/>
    <s v="Riya Ghosh"/>
    <x v="1"/>
    <x v="81"/>
    <n v="3223"/>
    <x v="0"/>
    <x v="3"/>
    <x v="7"/>
    <x v="0"/>
    <x v="4"/>
    <n v="0"/>
    <x v="82"/>
    <x v="1"/>
    <s v="Kolkata"/>
  </r>
  <r>
    <n v="11143488"/>
    <s v="Shanaya Sawhney"/>
    <x v="8"/>
    <x v="261"/>
    <n v="295"/>
    <x v="0"/>
    <x v="2"/>
    <x v="0"/>
    <x v="0"/>
    <x v="8"/>
    <n v="1"/>
    <x v="30"/>
    <x v="3"/>
    <s v="Ahmedabad"/>
  </r>
  <r>
    <n v="64330946"/>
    <s v="Vihaan Rout"/>
    <x v="3"/>
    <x v="59"/>
    <n v="23311"/>
    <x v="0"/>
    <x v="0"/>
    <x v="8"/>
    <x v="0"/>
    <x v="4"/>
    <n v="0"/>
    <x v="0"/>
    <x v="3"/>
    <s v="Hyderabad"/>
  </r>
  <r>
    <n v="73362222"/>
    <s v="Purab Sachar"/>
    <x v="6"/>
    <x v="239"/>
    <n v="21779"/>
    <x v="1"/>
    <x v="0"/>
    <x v="2"/>
    <x v="2"/>
    <x v="8"/>
    <n v="0"/>
    <x v="0"/>
    <x v="5"/>
    <s v="Ahmedabad"/>
  </r>
  <r>
    <n v="19694755"/>
    <s v="Vaibhav Sinha"/>
    <x v="2"/>
    <x v="320"/>
    <n v="20721"/>
    <x v="2"/>
    <x v="4"/>
    <x v="6"/>
    <x v="3"/>
    <x v="1"/>
    <n v="0"/>
    <x v="64"/>
    <x v="0"/>
    <s v="Chennai"/>
  </r>
  <r>
    <n v="52490430"/>
    <s v="Sara Din"/>
    <x v="9"/>
    <x v="230"/>
    <n v="17825"/>
    <x v="1"/>
    <x v="3"/>
    <x v="4"/>
    <x v="0"/>
    <x v="0"/>
    <n v="0"/>
    <x v="48"/>
    <x v="1"/>
    <s v="Kolkata"/>
  </r>
  <r>
    <n v="75587242"/>
    <s v="Darshit Ranganathan"/>
    <x v="1"/>
    <x v="176"/>
    <n v="6985"/>
    <x v="2"/>
    <x v="2"/>
    <x v="0"/>
    <x v="1"/>
    <x v="8"/>
    <n v="0"/>
    <x v="37"/>
    <x v="1"/>
    <s v="Mumbai"/>
  </r>
  <r>
    <n v="18806538"/>
    <s v="Tara Mannan"/>
    <x v="0"/>
    <x v="289"/>
    <n v="9203"/>
    <x v="2"/>
    <x v="4"/>
    <x v="7"/>
    <x v="2"/>
    <x v="2"/>
    <n v="0"/>
    <x v="48"/>
    <x v="0"/>
    <s v="Ahmedabad"/>
  </r>
  <r>
    <n v="97151229"/>
    <s v="Nitya Ganesh"/>
    <x v="5"/>
    <x v="96"/>
    <n v="2834"/>
    <x v="0"/>
    <x v="3"/>
    <x v="9"/>
    <x v="2"/>
    <x v="1"/>
    <n v="0"/>
    <x v="48"/>
    <x v="4"/>
    <s v="Lucknow"/>
  </r>
  <r>
    <n v="46529985"/>
    <s v="Shray Dubey"/>
    <x v="3"/>
    <x v="31"/>
    <n v="12740"/>
    <x v="1"/>
    <x v="1"/>
    <x v="1"/>
    <x v="1"/>
    <x v="5"/>
    <n v="0"/>
    <x v="51"/>
    <x v="3"/>
    <s v="Chennai"/>
  </r>
  <r>
    <n v="10160858"/>
    <s v="Kaira Kumar"/>
    <x v="4"/>
    <x v="139"/>
    <n v="20057"/>
    <x v="2"/>
    <x v="1"/>
    <x v="5"/>
    <x v="1"/>
    <x v="0"/>
    <n v="0"/>
    <x v="14"/>
    <x v="5"/>
    <s v="Hyderabad"/>
  </r>
  <r>
    <n v="48484987"/>
    <s v="Rati Date"/>
    <x v="3"/>
    <x v="148"/>
    <n v="19933"/>
    <x v="3"/>
    <x v="3"/>
    <x v="3"/>
    <x v="1"/>
    <x v="4"/>
    <n v="1"/>
    <x v="51"/>
    <x v="0"/>
    <s v="Hyderabad"/>
  </r>
  <r>
    <n v="20156336"/>
    <s v="Baiju Dubey"/>
    <x v="0"/>
    <x v="168"/>
    <n v="17105"/>
    <x v="0"/>
    <x v="1"/>
    <x v="1"/>
    <x v="2"/>
    <x v="2"/>
    <n v="0"/>
    <x v="74"/>
    <x v="1"/>
    <s v="Mumbai"/>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B96C66-978A-4E05-886E-2D43E48B08ED}" name="PivotTable2" cacheId="0"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chartFormat="28">
  <location ref="A3:B10" firstHeaderRow="1" firstDataRow="1" firstDataCol="1"/>
  <pivotFields count="17">
    <pivotField compact="0" outline="0" showAll="0"/>
    <pivotField compact="0" outline="0" showAll="0"/>
    <pivotField compact="0" outline="0" showAll="0"/>
    <pivotField compact="0" numFmtId="14" outline="0" showAll="0">
      <items count="343">
        <item x="55"/>
        <item x="277"/>
        <item x="149"/>
        <item x="122"/>
        <item x="5"/>
        <item x="314"/>
        <item x="142"/>
        <item x="155"/>
        <item x="112"/>
        <item x="19"/>
        <item x="6"/>
        <item x="181"/>
        <item x="73"/>
        <item x="44"/>
        <item x="214"/>
        <item x="153"/>
        <item x="48"/>
        <item x="262"/>
        <item x="7"/>
        <item x="83"/>
        <item x="340"/>
        <item x="324"/>
        <item x="3"/>
        <item x="199"/>
        <item x="30"/>
        <item x="250"/>
        <item x="110"/>
        <item x="244"/>
        <item x="238"/>
        <item x="198"/>
        <item x="133"/>
        <item x="37"/>
        <item x="236"/>
        <item x="229"/>
        <item x="219"/>
        <item x="131"/>
        <item x="192"/>
        <item x="235"/>
        <item x="13"/>
        <item x="177"/>
        <item x="326"/>
        <item x="246"/>
        <item x="57"/>
        <item x="220"/>
        <item x="129"/>
        <item x="206"/>
        <item x="176"/>
        <item x="106"/>
        <item x="315"/>
        <item x="233"/>
        <item x="152"/>
        <item x="91"/>
        <item x="113"/>
        <item x="82"/>
        <item x="132"/>
        <item x="302"/>
        <item x="41"/>
        <item x="175"/>
        <item x="32"/>
        <item x="103"/>
        <item x="321"/>
        <item x="210"/>
        <item x="66"/>
        <item x="151"/>
        <item x="232"/>
        <item x="135"/>
        <item x="143"/>
        <item x="252"/>
        <item x="310"/>
        <item x="242"/>
        <item x="156"/>
        <item x="301"/>
        <item x="109"/>
        <item x="226"/>
        <item x="207"/>
        <item x="167"/>
        <item x="63"/>
        <item x="209"/>
        <item x="338"/>
        <item x="123"/>
        <item x="287"/>
        <item x="159"/>
        <item x="88"/>
        <item x="157"/>
        <item x="124"/>
        <item x="59"/>
        <item x="154"/>
        <item x="196"/>
        <item x="272"/>
        <item x="234"/>
        <item x="331"/>
        <item x="51"/>
        <item x="172"/>
        <item x="289"/>
        <item x="125"/>
        <item x="184"/>
        <item x="237"/>
        <item x="240"/>
        <item x="284"/>
        <item x="77"/>
        <item x="144"/>
        <item x="79"/>
        <item x="260"/>
        <item x="180"/>
        <item x="126"/>
        <item x="71"/>
        <item x="35"/>
        <item x="291"/>
        <item x="87"/>
        <item x="212"/>
        <item x="118"/>
        <item x="45"/>
        <item x="195"/>
        <item x="92"/>
        <item x="99"/>
        <item x="194"/>
        <item x="304"/>
        <item x="274"/>
        <item x="121"/>
        <item x="300"/>
        <item x="328"/>
        <item x="179"/>
        <item x="323"/>
        <item x="296"/>
        <item x="65"/>
        <item x="28"/>
        <item x="249"/>
        <item x="105"/>
        <item x="107"/>
        <item x="101"/>
        <item x="312"/>
        <item x="108"/>
        <item x="215"/>
        <item x="211"/>
        <item x="168"/>
        <item x="271"/>
        <item x="96"/>
        <item x="224"/>
        <item x="228"/>
        <item x="283"/>
        <item x="341"/>
        <item x="303"/>
        <item x="203"/>
        <item x="166"/>
        <item x="69"/>
        <item x="127"/>
        <item x="1"/>
        <item x="225"/>
        <item x="332"/>
        <item x="70"/>
        <item x="52"/>
        <item x="174"/>
        <item x="2"/>
        <item x="14"/>
        <item x="273"/>
        <item x="136"/>
        <item x="327"/>
        <item x="128"/>
        <item x="339"/>
        <item x="290"/>
        <item x="50"/>
        <item x="111"/>
        <item x="293"/>
        <item x="85"/>
        <item x="89"/>
        <item x="282"/>
        <item x="164"/>
        <item x="84"/>
        <item x="18"/>
        <item x="208"/>
        <item x="190"/>
        <item x="305"/>
        <item x="256"/>
        <item x="56"/>
        <item x="227"/>
        <item x="201"/>
        <item x="205"/>
        <item x="318"/>
        <item x="313"/>
        <item x="222"/>
        <item x="75"/>
        <item x="322"/>
        <item x="255"/>
        <item x="317"/>
        <item x="53"/>
        <item x="248"/>
        <item x="80"/>
        <item x="259"/>
        <item x="295"/>
        <item x="288"/>
        <item x="278"/>
        <item x="223"/>
        <item x="43"/>
        <item x="292"/>
        <item x="22"/>
        <item x="94"/>
        <item x="187"/>
        <item x="276"/>
        <item x="40"/>
        <item x="325"/>
        <item x="269"/>
        <item x="25"/>
        <item x="279"/>
        <item x="158"/>
        <item x="307"/>
        <item x="333"/>
        <item x="202"/>
        <item x="24"/>
        <item x="230"/>
        <item x="4"/>
        <item x="93"/>
        <item x="114"/>
        <item x="67"/>
        <item x="26"/>
        <item x="145"/>
        <item x="39"/>
        <item x="253"/>
        <item x="245"/>
        <item x="54"/>
        <item x="76"/>
        <item x="150"/>
        <item x="119"/>
        <item x="294"/>
        <item x="267"/>
        <item x="265"/>
        <item x="281"/>
        <item x="297"/>
        <item x="38"/>
        <item x="98"/>
        <item x="221"/>
        <item x="162"/>
        <item x="15"/>
        <item x="62"/>
        <item x="20"/>
        <item x="185"/>
        <item x="264"/>
        <item x="251"/>
        <item x="275"/>
        <item x="170"/>
        <item x="148"/>
        <item x="306"/>
        <item x="100"/>
        <item x="311"/>
        <item x="86"/>
        <item x="216"/>
        <item x="42"/>
        <item x="334"/>
        <item x="165"/>
        <item x="72"/>
        <item x="130"/>
        <item x="23"/>
        <item x="261"/>
        <item x="58"/>
        <item x="336"/>
        <item x="299"/>
        <item x="280"/>
        <item x="49"/>
        <item x="163"/>
        <item x="141"/>
        <item x="213"/>
        <item x="16"/>
        <item x="74"/>
        <item x="115"/>
        <item x="189"/>
        <item x="329"/>
        <item x="217"/>
        <item x="298"/>
        <item x="138"/>
        <item x="95"/>
        <item x="31"/>
        <item x="146"/>
        <item x="197"/>
        <item x="319"/>
        <item x="102"/>
        <item x="10"/>
        <item x="308"/>
        <item x="286"/>
        <item x="27"/>
        <item x="64"/>
        <item x="97"/>
        <item x="320"/>
        <item x="21"/>
        <item x="247"/>
        <item x="239"/>
        <item x="268"/>
        <item x="193"/>
        <item x="68"/>
        <item x="9"/>
        <item x="29"/>
        <item x="316"/>
        <item x="270"/>
        <item x="90"/>
        <item x="183"/>
        <item x="188"/>
        <item x="46"/>
        <item x="116"/>
        <item x="182"/>
        <item x="335"/>
        <item x="78"/>
        <item x="161"/>
        <item x="160"/>
        <item x="134"/>
        <item x="60"/>
        <item x="147"/>
        <item x="178"/>
        <item x="8"/>
        <item x="0"/>
        <item x="258"/>
        <item x="120"/>
        <item x="47"/>
        <item x="34"/>
        <item x="241"/>
        <item x="11"/>
        <item x="61"/>
        <item x="191"/>
        <item x="186"/>
        <item x="330"/>
        <item x="139"/>
        <item x="173"/>
        <item x="171"/>
        <item x="243"/>
        <item x="117"/>
        <item x="337"/>
        <item x="140"/>
        <item x="104"/>
        <item x="200"/>
        <item x="257"/>
        <item x="285"/>
        <item x="204"/>
        <item x="36"/>
        <item x="169"/>
        <item x="12"/>
        <item x="266"/>
        <item x="231"/>
        <item x="81"/>
        <item x="309"/>
        <item x="137"/>
        <item x="254"/>
        <item x="33"/>
        <item x="263"/>
        <item x="17"/>
        <item x="218"/>
        <item t="default"/>
      </items>
    </pivotField>
    <pivotField dataField="1" compact="0" outline="0" showAll="0"/>
    <pivotField compact="0" outline="0" showAll="0"/>
    <pivotField compact="0" outline="0" showAll="0">
      <items count="6">
        <item x="3"/>
        <item x="0"/>
        <item x="2"/>
        <item x="4"/>
        <item x="1"/>
        <item t="default"/>
      </items>
    </pivotField>
    <pivotField compact="0" outline="0" showAll="0">
      <items count="11">
        <item x="4"/>
        <item x="8"/>
        <item x="7"/>
        <item x="3"/>
        <item x="1"/>
        <item x="9"/>
        <item x="6"/>
        <item x="0"/>
        <item x="2"/>
        <item x="5"/>
        <item t="default"/>
      </items>
    </pivotField>
    <pivotField compact="0" outline="0" showAll="0">
      <items count="5">
        <item x="1"/>
        <item x="3"/>
        <item x="0"/>
        <item x="2"/>
        <item t="default"/>
      </items>
    </pivotField>
    <pivotField compact="0" outline="0" showAll="0">
      <items count="10">
        <item h="1" x="4"/>
        <item h="1" x="8"/>
        <item h="1" x="5"/>
        <item h="1" x="3"/>
        <item h="1" x="2"/>
        <item h="1" x="0"/>
        <item x="7"/>
        <item h="1" x="1"/>
        <item h="1" x="6"/>
        <item t="default"/>
      </items>
    </pivotField>
    <pivotField compact="0" outline="0" showAll="0"/>
    <pivotField compact="0" outline="0" showAll="0"/>
    <pivotField axis="axisRow" compact="0" outline="0" showAll="0">
      <items count="7">
        <item x="4"/>
        <item x="2"/>
        <item x="3"/>
        <item x="5"/>
        <item x="1"/>
        <item x="0"/>
        <item t="default"/>
      </items>
    </pivotField>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5">
        <item x="0"/>
        <item x="1"/>
        <item x="2"/>
        <item x="3"/>
        <item t="default"/>
      </items>
    </pivotField>
  </pivotFields>
  <rowFields count="1">
    <field x="12"/>
  </rowFields>
  <rowItems count="7">
    <i>
      <x/>
    </i>
    <i>
      <x v="1"/>
    </i>
    <i>
      <x v="2"/>
    </i>
    <i>
      <x v="3"/>
    </i>
    <i>
      <x v="4"/>
    </i>
    <i>
      <x v="5"/>
    </i>
    <i t="grand">
      <x/>
    </i>
  </rowItems>
  <colItems count="1">
    <i/>
  </colItems>
  <dataFields count="1">
    <dataField name="Sum of Transaction Amount (INR)" fld="4" baseField="0" baseItem="0" numFmtId="169"/>
  </dataFields>
  <chartFormats count="7">
    <chartFormat chart="12" format="18"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0"/>
          </reference>
        </references>
      </pivotArea>
    </chartFormat>
    <chartFormat chart="12" format="19">
      <pivotArea type="data" outline="0" fieldPosition="0">
        <references count="2">
          <reference field="4294967294" count="1" selected="0">
            <x v="0"/>
          </reference>
          <reference field="12" count="1" selected="0">
            <x v="5"/>
          </reference>
        </references>
      </pivotArea>
    </chartFormat>
    <chartFormat chart="12" format="20">
      <pivotArea type="data" outline="0" fieldPosition="0">
        <references count="2">
          <reference field="4294967294" count="1" selected="0">
            <x v="0"/>
          </reference>
          <reference field="12" count="1" selected="0">
            <x v="4"/>
          </reference>
        </references>
      </pivotArea>
    </chartFormat>
    <chartFormat chart="12" format="21">
      <pivotArea type="data" outline="0" fieldPosition="0">
        <references count="2">
          <reference field="4294967294" count="1" selected="0">
            <x v="0"/>
          </reference>
          <reference field="12" count="1" selected="0">
            <x v="2"/>
          </reference>
        </references>
      </pivotArea>
    </chartFormat>
    <chartFormat chart="12" format="22">
      <pivotArea type="data" outline="0" fieldPosition="0">
        <references count="2">
          <reference field="4294967294" count="1" selected="0">
            <x v="0"/>
          </reference>
          <reference field="12" count="1" selected="0">
            <x v="1"/>
          </reference>
        </references>
      </pivotArea>
    </chartFormat>
    <chartFormat chart="12" format="23">
      <pivotArea type="data" outline="0" fieldPosition="0">
        <references count="2">
          <reference field="4294967294" count="1" selected="0">
            <x v="0"/>
          </reference>
          <reference field="1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FDB255-C3A7-4CC2-A310-84D62C945B0A}" name="PivotTable3" cacheId="0"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chartFormat="16">
  <location ref="A3:C8" firstHeaderRow="0" firstDataRow="1" firstDataCol="1"/>
  <pivotFields count="17">
    <pivotField compact="0" outline="0" showAll="0"/>
    <pivotField compact="0" outline="0" showAll="0"/>
    <pivotField compact="0" outline="0" showAll="0"/>
    <pivotField compact="0" numFmtId="14" outline="0" showAll="0">
      <items count="343">
        <item x="55"/>
        <item x="277"/>
        <item x="149"/>
        <item x="122"/>
        <item x="5"/>
        <item x="314"/>
        <item x="142"/>
        <item x="155"/>
        <item x="112"/>
        <item x="19"/>
        <item x="6"/>
        <item x="181"/>
        <item x="73"/>
        <item x="44"/>
        <item x="214"/>
        <item x="153"/>
        <item x="48"/>
        <item x="262"/>
        <item x="7"/>
        <item x="83"/>
        <item x="340"/>
        <item x="324"/>
        <item x="3"/>
        <item x="199"/>
        <item x="30"/>
        <item x="250"/>
        <item x="110"/>
        <item x="244"/>
        <item x="238"/>
        <item x="198"/>
        <item x="133"/>
        <item x="37"/>
        <item x="236"/>
        <item x="229"/>
        <item x="219"/>
        <item x="131"/>
        <item x="192"/>
        <item x="235"/>
        <item x="13"/>
        <item x="177"/>
        <item x="326"/>
        <item x="246"/>
        <item x="57"/>
        <item x="220"/>
        <item x="129"/>
        <item x="206"/>
        <item x="176"/>
        <item x="106"/>
        <item x="315"/>
        <item x="233"/>
        <item x="152"/>
        <item x="91"/>
        <item x="113"/>
        <item x="82"/>
        <item x="132"/>
        <item x="302"/>
        <item x="41"/>
        <item x="175"/>
        <item x="32"/>
        <item x="103"/>
        <item x="321"/>
        <item x="210"/>
        <item x="66"/>
        <item x="151"/>
        <item x="232"/>
        <item x="135"/>
        <item x="143"/>
        <item x="252"/>
        <item x="310"/>
        <item x="242"/>
        <item x="156"/>
        <item x="301"/>
        <item x="109"/>
        <item x="226"/>
        <item x="207"/>
        <item x="167"/>
        <item x="63"/>
        <item x="209"/>
        <item x="338"/>
        <item x="123"/>
        <item x="287"/>
        <item x="159"/>
        <item x="88"/>
        <item x="157"/>
        <item x="124"/>
        <item x="59"/>
        <item x="154"/>
        <item x="196"/>
        <item x="272"/>
        <item x="234"/>
        <item x="331"/>
        <item x="51"/>
        <item x="172"/>
        <item x="289"/>
        <item x="125"/>
        <item x="184"/>
        <item x="237"/>
        <item x="240"/>
        <item x="284"/>
        <item x="77"/>
        <item x="144"/>
        <item x="79"/>
        <item x="260"/>
        <item x="180"/>
        <item x="126"/>
        <item x="71"/>
        <item x="35"/>
        <item x="291"/>
        <item x="87"/>
        <item x="212"/>
        <item x="118"/>
        <item x="45"/>
        <item x="195"/>
        <item x="92"/>
        <item x="99"/>
        <item x="194"/>
        <item x="304"/>
        <item x="274"/>
        <item x="121"/>
        <item x="300"/>
        <item x="328"/>
        <item x="179"/>
        <item x="323"/>
        <item x="296"/>
        <item x="65"/>
        <item x="28"/>
        <item x="249"/>
        <item x="105"/>
        <item x="107"/>
        <item x="101"/>
        <item x="312"/>
        <item x="108"/>
        <item x="215"/>
        <item x="211"/>
        <item x="168"/>
        <item x="271"/>
        <item x="96"/>
        <item x="224"/>
        <item x="228"/>
        <item x="283"/>
        <item x="341"/>
        <item x="303"/>
        <item x="203"/>
        <item x="166"/>
        <item x="69"/>
        <item x="127"/>
        <item x="1"/>
        <item x="225"/>
        <item x="332"/>
        <item x="70"/>
        <item x="52"/>
        <item x="174"/>
        <item x="2"/>
        <item x="14"/>
        <item x="273"/>
        <item x="136"/>
        <item x="327"/>
        <item x="128"/>
        <item x="339"/>
        <item x="290"/>
        <item x="50"/>
        <item x="111"/>
        <item x="293"/>
        <item x="85"/>
        <item x="89"/>
        <item x="282"/>
        <item x="164"/>
        <item x="84"/>
        <item x="18"/>
        <item x="208"/>
        <item x="190"/>
        <item x="305"/>
        <item x="256"/>
        <item x="56"/>
        <item x="227"/>
        <item x="201"/>
        <item x="205"/>
        <item x="318"/>
        <item x="313"/>
        <item x="222"/>
        <item x="75"/>
        <item x="322"/>
        <item x="255"/>
        <item x="317"/>
        <item x="53"/>
        <item x="248"/>
        <item x="80"/>
        <item x="259"/>
        <item x="295"/>
        <item x="288"/>
        <item x="278"/>
        <item x="223"/>
        <item x="43"/>
        <item x="292"/>
        <item x="22"/>
        <item x="94"/>
        <item x="187"/>
        <item x="276"/>
        <item x="40"/>
        <item x="325"/>
        <item x="269"/>
        <item x="25"/>
        <item x="279"/>
        <item x="158"/>
        <item x="307"/>
        <item x="333"/>
        <item x="202"/>
        <item x="24"/>
        <item x="230"/>
        <item x="4"/>
        <item x="93"/>
        <item x="114"/>
        <item x="67"/>
        <item x="26"/>
        <item x="145"/>
        <item x="39"/>
        <item x="253"/>
        <item x="245"/>
        <item x="54"/>
        <item x="76"/>
        <item x="150"/>
        <item x="119"/>
        <item x="294"/>
        <item x="267"/>
        <item x="265"/>
        <item x="281"/>
        <item x="297"/>
        <item x="38"/>
        <item x="98"/>
        <item x="221"/>
        <item x="162"/>
        <item x="15"/>
        <item x="62"/>
        <item x="20"/>
        <item x="185"/>
        <item x="264"/>
        <item x="251"/>
        <item x="275"/>
        <item x="170"/>
        <item x="148"/>
        <item x="306"/>
        <item x="100"/>
        <item x="311"/>
        <item x="86"/>
        <item x="216"/>
        <item x="42"/>
        <item x="334"/>
        <item x="165"/>
        <item x="72"/>
        <item x="130"/>
        <item x="23"/>
        <item x="261"/>
        <item x="58"/>
        <item x="336"/>
        <item x="299"/>
        <item x="280"/>
        <item x="49"/>
        <item x="163"/>
        <item x="141"/>
        <item x="213"/>
        <item x="16"/>
        <item x="74"/>
        <item x="115"/>
        <item x="189"/>
        <item x="329"/>
        <item x="217"/>
        <item x="298"/>
        <item x="138"/>
        <item x="95"/>
        <item x="31"/>
        <item x="146"/>
        <item x="197"/>
        <item x="319"/>
        <item x="102"/>
        <item x="10"/>
        <item x="308"/>
        <item x="286"/>
        <item x="27"/>
        <item x="64"/>
        <item x="97"/>
        <item x="320"/>
        <item x="21"/>
        <item x="247"/>
        <item x="239"/>
        <item x="268"/>
        <item x="193"/>
        <item x="68"/>
        <item x="9"/>
        <item x="29"/>
        <item x="316"/>
        <item x="270"/>
        <item x="90"/>
        <item x="183"/>
        <item x="188"/>
        <item x="46"/>
        <item x="116"/>
        <item x="182"/>
        <item x="335"/>
        <item x="78"/>
        <item x="161"/>
        <item x="160"/>
        <item x="134"/>
        <item x="60"/>
        <item x="147"/>
        <item x="178"/>
        <item x="8"/>
        <item x="0"/>
        <item x="258"/>
        <item x="120"/>
        <item x="47"/>
        <item x="34"/>
        <item x="241"/>
        <item x="11"/>
        <item x="61"/>
        <item x="191"/>
        <item x="186"/>
        <item x="330"/>
        <item x="139"/>
        <item x="173"/>
        <item x="171"/>
        <item x="243"/>
        <item x="117"/>
        <item x="337"/>
        <item x="140"/>
        <item x="104"/>
        <item x="200"/>
        <item x="257"/>
        <item x="285"/>
        <item x="204"/>
        <item x="36"/>
        <item x="169"/>
        <item x="12"/>
        <item x="266"/>
        <item x="231"/>
        <item x="81"/>
        <item x="309"/>
        <item x="137"/>
        <item x="254"/>
        <item x="33"/>
        <item x="263"/>
        <item x="17"/>
        <item x="218"/>
        <item t="default"/>
      </items>
    </pivotField>
    <pivotField dataField="1" compact="0" outline="0" showAll="0"/>
    <pivotField axis="axisRow" compact="0" outline="0" showAll="0">
      <items count="5">
        <item x="2"/>
        <item x="3"/>
        <item x="1"/>
        <item x="0"/>
        <item t="default"/>
      </items>
    </pivotField>
    <pivotField compact="0" outline="0" showAll="0">
      <items count="6">
        <item x="3"/>
        <item x="0"/>
        <item x="2"/>
        <item x="4"/>
        <item x="1"/>
        <item t="default"/>
      </items>
    </pivotField>
    <pivotField compact="0" outline="0" showAll="0">
      <items count="11">
        <item x="4"/>
        <item x="8"/>
        <item x="7"/>
        <item x="3"/>
        <item x="1"/>
        <item x="9"/>
        <item x="6"/>
        <item x="0"/>
        <item x="2"/>
        <item x="5"/>
        <item t="default"/>
      </items>
    </pivotField>
    <pivotField compact="0" outline="0" showAll="0">
      <items count="5">
        <item x="1"/>
        <item x="3"/>
        <item x="0"/>
        <item x="2"/>
        <item t="default"/>
      </items>
    </pivotField>
    <pivotField compact="0" outline="0" showAll="0"/>
    <pivotField compact="0" outline="0" showAll="0"/>
    <pivotField dataField="1"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5">
        <item x="0"/>
        <item x="1"/>
        <item x="2"/>
        <item x="3"/>
        <item t="default"/>
      </items>
    </pivotField>
  </pivotFields>
  <rowFields count="1">
    <field x="5"/>
  </rowFields>
  <rowItems count="5">
    <i>
      <x/>
    </i>
    <i>
      <x v="1"/>
    </i>
    <i>
      <x v="2"/>
    </i>
    <i>
      <x v="3"/>
    </i>
    <i t="grand">
      <x/>
    </i>
  </rowItems>
  <colFields count="1">
    <field x="-2"/>
  </colFields>
  <colItems count="2">
    <i>
      <x/>
    </i>
    <i i="1">
      <x v="1"/>
    </i>
  </colItems>
  <dataFields count="2">
    <dataField name="Sum of Transaction Amount (INR)" fld="4" baseField="0" baseItem="0" numFmtId="164"/>
    <dataField name="Sum of Fraud Score" fld="11" baseField="0" baseItem="0"/>
  </dataFields>
  <chartFormats count="20">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5" count="1" selected="0">
            <x v="3"/>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 chart="0" format="5">
      <pivotArea type="data" outline="0" fieldPosition="0">
        <references count="2">
          <reference field="4294967294" count="1" selected="0">
            <x v="0"/>
          </reference>
          <reference field="5" count="1" selected="0">
            <x v="2"/>
          </reference>
        </references>
      </pivotArea>
    </chartFormat>
    <chartFormat chart="15" format="11" series="1">
      <pivotArea type="data" outline="0" fieldPosition="0">
        <references count="1">
          <reference field="4294967294" count="1" selected="0">
            <x v="0"/>
          </reference>
        </references>
      </pivotArea>
    </chartFormat>
    <chartFormat chart="15" format="12">
      <pivotArea type="data" outline="0" fieldPosition="0">
        <references count="2">
          <reference field="4294967294" count="1" selected="0">
            <x v="0"/>
          </reference>
          <reference field="5" count="1" selected="0">
            <x v="0"/>
          </reference>
        </references>
      </pivotArea>
    </chartFormat>
    <chartFormat chart="15" format="13">
      <pivotArea type="data" outline="0" fieldPosition="0">
        <references count="2">
          <reference field="4294967294" count="1" selected="0">
            <x v="0"/>
          </reference>
          <reference field="5" count="1" selected="0">
            <x v="1"/>
          </reference>
        </references>
      </pivotArea>
    </chartFormat>
    <chartFormat chart="15" format="14">
      <pivotArea type="data" outline="0" fieldPosition="0">
        <references count="2">
          <reference field="4294967294" count="1" selected="0">
            <x v="0"/>
          </reference>
          <reference field="5" count="1" selected="0">
            <x v="2"/>
          </reference>
        </references>
      </pivotArea>
    </chartFormat>
    <chartFormat chart="15" format="15">
      <pivotArea type="data" outline="0" fieldPosition="0">
        <references count="2">
          <reference field="4294967294" count="1" selected="0">
            <x v="0"/>
          </reference>
          <reference field="5" count="1" selected="0">
            <x v="3"/>
          </reference>
        </references>
      </pivotArea>
    </chartFormat>
    <chartFormat chart="15" format="16"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1"/>
          </reference>
        </references>
      </pivotArea>
    </chartFormat>
    <chartFormat chart="0" format="7">
      <pivotArea type="data" outline="0" fieldPosition="0">
        <references count="2">
          <reference field="4294967294" count="1" selected="0">
            <x v="1"/>
          </reference>
          <reference field="5" count="1" selected="0">
            <x v="3"/>
          </reference>
        </references>
      </pivotArea>
    </chartFormat>
    <chartFormat chart="0" format="8">
      <pivotArea type="data" outline="0" fieldPosition="0">
        <references count="2">
          <reference field="4294967294" count="1" selected="0">
            <x v="1"/>
          </reference>
          <reference field="5" count="1" selected="0">
            <x v="0"/>
          </reference>
        </references>
      </pivotArea>
    </chartFormat>
    <chartFormat chart="0" format="9">
      <pivotArea type="data" outline="0" fieldPosition="0">
        <references count="2">
          <reference field="4294967294" count="1" selected="0">
            <x v="1"/>
          </reference>
          <reference field="5" count="1" selected="0">
            <x v="1"/>
          </reference>
        </references>
      </pivotArea>
    </chartFormat>
    <chartFormat chart="15" format="17">
      <pivotArea type="data" outline="0" fieldPosition="0">
        <references count="2">
          <reference field="4294967294" count="1" selected="0">
            <x v="1"/>
          </reference>
          <reference field="5" count="1" selected="0">
            <x v="0"/>
          </reference>
        </references>
      </pivotArea>
    </chartFormat>
    <chartFormat chart="15" format="18">
      <pivotArea type="data" outline="0" fieldPosition="0">
        <references count="2">
          <reference field="4294967294" count="1" selected="0">
            <x v="1"/>
          </reference>
          <reference field="5" count="1" selected="0">
            <x v="1"/>
          </reference>
        </references>
      </pivotArea>
    </chartFormat>
    <chartFormat chart="15" format="19">
      <pivotArea type="data" outline="0" fieldPosition="0">
        <references count="2">
          <reference field="4294967294" count="1" selected="0">
            <x v="1"/>
          </reference>
          <reference field="5" count="1" selected="0">
            <x v="2"/>
          </reference>
        </references>
      </pivotArea>
    </chartFormat>
    <chartFormat chart="15" format="20">
      <pivotArea type="data" outline="0" fieldPosition="0">
        <references count="2">
          <reference field="4294967294" count="1" selected="0">
            <x v="1"/>
          </reference>
          <reference field="5" count="1" selected="0">
            <x v="3"/>
          </reference>
        </references>
      </pivotArea>
    </chartFormat>
    <chartFormat chart="0" format="11">
      <pivotArea type="data" outline="0" fieldPosition="0">
        <references count="2">
          <reference field="4294967294" count="1" selected="0">
            <x v="1"/>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ACBA8D-C8C6-4521-B45B-FD5528EABBC1}" name="PivotTable4" cacheId="0"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chartFormat="10">
  <location ref="A3:B14" firstHeaderRow="1" firstDataRow="1" firstDataCol="1"/>
  <pivotFields count="17">
    <pivotField compact="0" outline="0" showAll="0"/>
    <pivotField compact="0" outline="0" showAll="0"/>
    <pivotField compact="0" outline="0" showAll="0"/>
    <pivotField compact="0" numFmtId="14" outline="0" showAll="0">
      <items count="343">
        <item x="55"/>
        <item x="277"/>
        <item x="149"/>
        <item x="122"/>
        <item x="5"/>
        <item x="314"/>
        <item x="142"/>
        <item x="155"/>
        <item x="112"/>
        <item x="19"/>
        <item x="6"/>
        <item x="181"/>
        <item x="73"/>
        <item x="44"/>
        <item x="214"/>
        <item x="153"/>
        <item x="48"/>
        <item x="262"/>
        <item x="7"/>
        <item x="83"/>
        <item x="340"/>
        <item x="324"/>
        <item x="3"/>
        <item x="199"/>
        <item x="30"/>
        <item x="250"/>
        <item x="110"/>
        <item x="244"/>
        <item x="238"/>
        <item x="198"/>
        <item x="133"/>
        <item x="37"/>
        <item x="236"/>
        <item x="229"/>
        <item x="219"/>
        <item x="131"/>
        <item x="192"/>
        <item x="235"/>
        <item x="13"/>
        <item x="177"/>
        <item x="326"/>
        <item x="246"/>
        <item x="57"/>
        <item x="220"/>
        <item x="129"/>
        <item x="206"/>
        <item x="176"/>
        <item x="106"/>
        <item x="315"/>
        <item x="233"/>
        <item x="152"/>
        <item x="91"/>
        <item x="113"/>
        <item x="82"/>
        <item x="132"/>
        <item x="302"/>
        <item x="41"/>
        <item x="175"/>
        <item x="32"/>
        <item x="103"/>
        <item x="321"/>
        <item x="210"/>
        <item x="66"/>
        <item x="151"/>
        <item x="232"/>
        <item x="135"/>
        <item x="143"/>
        <item x="252"/>
        <item x="310"/>
        <item x="242"/>
        <item x="156"/>
        <item x="301"/>
        <item x="109"/>
        <item x="226"/>
        <item x="207"/>
        <item x="167"/>
        <item x="63"/>
        <item x="209"/>
        <item x="338"/>
        <item x="123"/>
        <item x="287"/>
        <item x="159"/>
        <item x="88"/>
        <item x="157"/>
        <item x="124"/>
        <item x="59"/>
        <item x="154"/>
        <item x="196"/>
        <item x="272"/>
        <item x="234"/>
        <item x="331"/>
        <item x="51"/>
        <item x="172"/>
        <item x="289"/>
        <item x="125"/>
        <item x="184"/>
        <item x="237"/>
        <item x="240"/>
        <item x="284"/>
        <item x="77"/>
        <item x="144"/>
        <item x="79"/>
        <item x="260"/>
        <item x="180"/>
        <item x="126"/>
        <item x="71"/>
        <item x="35"/>
        <item x="291"/>
        <item x="87"/>
        <item x="212"/>
        <item x="118"/>
        <item x="45"/>
        <item x="195"/>
        <item x="92"/>
        <item x="99"/>
        <item x="194"/>
        <item x="304"/>
        <item x="274"/>
        <item x="121"/>
        <item x="300"/>
        <item x="328"/>
        <item x="179"/>
        <item x="323"/>
        <item x="296"/>
        <item x="65"/>
        <item x="28"/>
        <item x="249"/>
        <item x="105"/>
        <item x="107"/>
        <item x="101"/>
        <item x="312"/>
        <item x="108"/>
        <item x="215"/>
        <item x="211"/>
        <item x="168"/>
        <item x="271"/>
        <item x="96"/>
        <item x="224"/>
        <item x="228"/>
        <item x="283"/>
        <item x="341"/>
        <item x="303"/>
        <item x="203"/>
        <item x="166"/>
        <item x="69"/>
        <item x="127"/>
        <item x="1"/>
        <item x="225"/>
        <item x="332"/>
        <item x="70"/>
        <item x="52"/>
        <item x="174"/>
        <item x="2"/>
        <item x="14"/>
        <item x="273"/>
        <item x="136"/>
        <item x="327"/>
        <item x="128"/>
        <item x="339"/>
        <item x="290"/>
        <item x="50"/>
        <item x="111"/>
        <item x="293"/>
        <item x="85"/>
        <item x="89"/>
        <item x="282"/>
        <item x="164"/>
        <item x="84"/>
        <item x="18"/>
        <item x="208"/>
        <item x="190"/>
        <item x="305"/>
        <item x="256"/>
        <item x="56"/>
        <item x="227"/>
        <item x="201"/>
        <item x="205"/>
        <item x="318"/>
        <item x="313"/>
        <item x="222"/>
        <item x="75"/>
        <item x="322"/>
        <item x="255"/>
        <item x="317"/>
        <item x="53"/>
        <item x="248"/>
        <item x="80"/>
        <item x="259"/>
        <item x="295"/>
        <item x="288"/>
        <item x="278"/>
        <item x="223"/>
        <item x="43"/>
        <item x="292"/>
        <item x="22"/>
        <item x="94"/>
        <item x="187"/>
        <item x="276"/>
        <item x="40"/>
        <item x="325"/>
        <item x="269"/>
        <item x="25"/>
        <item x="279"/>
        <item x="158"/>
        <item x="307"/>
        <item x="333"/>
        <item x="202"/>
        <item x="24"/>
        <item x="230"/>
        <item x="4"/>
        <item x="93"/>
        <item x="114"/>
        <item x="67"/>
        <item x="26"/>
        <item x="145"/>
        <item x="39"/>
        <item x="253"/>
        <item x="245"/>
        <item x="54"/>
        <item x="76"/>
        <item x="150"/>
        <item x="119"/>
        <item x="294"/>
        <item x="267"/>
        <item x="265"/>
        <item x="281"/>
        <item x="297"/>
        <item x="38"/>
        <item x="98"/>
        <item x="221"/>
        <item x="162"/>
        <item x="15"/>
        <item x="62"/>
        <item x="20"/>
        <item x="185"/>
        <item x="264"/>
        <item x="251"/>
        <item x="275"/>
        <item x="170"/>
        <item x="148"/>
        <item x="306"/>
        <item x="100"/>
        <item x="311"/>
        <item x="86"/>
        <item x="216"/>
        <item x="42"/>
        <item x="334"/>
        <item x="165"/>
        <item x="72"/>
        <item x="130"/>
        <item x="23"/>
        <item x="261"/>
        <item x="58"/>
        <item x="336"/>
        <item x="299"/>
        <item x="280"/>
        <item x="49"/>
        <item x="163"/>
        <item x="141"/>
        <item x="213"/>
        <item x="16"/>
        <item x="74"/>
        <item x="115"/>
        <item x="189"/>
        <item x="329"/>
        <item x="217"/>
        <item x="298"/>
        <item x="138"/>
        <item x="95"/>
        <item x="31"/>
        <item x="146"/>
        <item x="197"/>
        <item x="319"/>
        <item x="102"/>
        <item x="10"/>
        <item x="308"/>
        <item x="286"/>
        <item x="27"/>
        <item x="64"/>
        <item x="97"/>
        <item x="320"/>
        <item x="21"/>
        <item x="247"/>
        <item x="239"/>
        <item x="268"/>
        <item x="193"/>
        <item x="68"/>
        <item x="9"/>
        <item x="29"/>
        <item x="316"/>
        <item x="270"/>
        <item x="90"/>
        <item x="183"/>
        <item x="188"/>
        <item x="46"/>
        <item x="116"/>
        <item x="182"/>
        <item x="335"/>
        <item x="78"/>
        <item x="161"/>
        <item x="160"/>
        <item x="134"/>
        <item x="60"/>
        <item x="147"/>
        <item x="178"/>
        <item x="8"/>
        <item x="0"/>
        <item x="258"/>
        <item x="120"/>
        <item x="47"/>
        <item x="34"/>
        <item x="241"/>
        <item x="11"/>
        <item x="61"/>
        <item x="191"/>
        <item x="186"/>
        <item x="330"/>
        <item x="139"/>
        <item x="173"/>
        <item x="171"/>
        <item x="243"/>
        <item x="117"/>
        <item x="337"/>
        <item x="140"/>
        <item x="104"/>
        <item x="200"/>
        <item x="257"/>
        <item x="285"/>
        <item x="204"/>
        <item x="36"/>
        <item x="169"/>
        <item x="12"/>
        <item x="266"/>
        <item x="231"/>
        <item x="81"/>
        <item x="309"/>
        <item x="137"/>
        <item x="254"/>
        <item x="33"/>
        <item x="263"/>
        <item x="17"/>
        <item x="218"/>
        <item t="default"/>
      </items>
    </pivotField>
    <pivotField compact="0" outline="0" showAll="0"/>
    <pivotField compact="0" outline="0" showAll="0"/>
    <pivotField compact="0" outline="0" showAll="0">
      <items count="6">
        <item x="3"/>
        <item x="0"/>
        <item x="2"/>
        <item x="4"/>
        <item x="1"/>
        <item t="default"/>
      </items>
    </pivotField>
    <pivotField axis="axisRow" compact="0" outline="0" showAll="0" sortType="descending">
      <items count="11">
        <item x="4"/>
        <item x="8"/>
        <item x="7"/>
        <item x="3"/>
        <item x="1"/>
        <item x="9"/>
        <item x="6"/>
        <item x="0"/>
        <item x="2"/>
        <item x="5"/>
        <item t="default"/>
      </items>
      <autoSortScope>
        <pivotArea dataOnly="0" outline="0" fieldPosition="0">
          <references count="1">
            <reference field="4294967294" count="1" selected="0">
              <x v="0"/>
            </reference>
          </references>
        </pivotArea>
      </autoSortScope>
    </pivotField>
    <pivotField compact="0" outline="0" showAll="0">
      <items count="5">
        <item x="1"/>
        <item x="3"/>
        <item x="0"/>
        <item x="2"/>
        <item t="default"/>
      </items>
    </pivotField>
    <pivotField compact="0" outline="0" showAll="0"/>
    <pivotField dataField="1" compact="0" outline="0" showAll="0"/>
    <pivotField compact="0" outline="0" showAll="0"/>
    <pivotField compact="0" outline="0" showAll="0">
      <items count="7">
        <item x="4"/>
        <item x="2"/>
        <item x="3"/>
        <item x="5"/>
        <item x="1"/>
        <item x="0"/>
        <item t="default"/>
      </items>
    </pivotField>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5">
        <item x="0"/>
        <item x="1"/>
        <item x="2"/>
        <item x="3"/>
        <item t="default"/>
      </items>
    </pivotField>
  </pivotFields>
  <rowFields count="1">
    <field x="7"/>
  </rowFields>
  <rowItems count="11">
    <i>
      <x v="4"/>
    </i>
    <i>
      <x v="2"/>
    </i>
    <i>
      <x v="5"/>
    </i>
    <i>
      <x v="9"/>
    </i>
    <i>
      <x v="8"/>
    </i>
    <i>
      <x v="6"/>
    </i>
    <i>
      <x v="7"/>
    </i>
    <i>
      <x v="1"/>
    </i>
    <i>
      <x v="3"/>
    </i>
    <i>
      <x/>
    </i>
    <i t="grand">
      <x/>
    </i>
  </rowItems>
  <colItems count="1">
    <i/>
  </colItems>
  <dataFields count="1">
    <dataField name="Sum of IsFraud" fld="10" baseField="0" baseItem="0"/>
  </dataFields>
  <chartFormats count="2">
    <chartFormat chart="4"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6E356F2-D084-4552-88B0-A50BBB8EC107}" name="PivotTable5" cacheId="0"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chartFormat="19">
  <location ref="A3:B16" firstHeaderRow="1" firstDataRow="1" firstDataCol="1"/>
  <pivotFields count="17">
    <pivotField compact="0" outline="0" showAll="0"/>
    <pivotField compact="0" outline="0" showAll="0"/>
    <pivotField compact="0" outline="0" showAll="0">
      <items count="11">
        <item x="6"/>
        <item x="7"/>
        <item x="5"/>
        <item x="3"/>
        <item x="2"/>
        <item x="8"/>
        <item x="9"/>
        <item x="4"/>
        <item x="0"/>
        <item x="1"/>
        <item t="default"/>
      </items>
    </pivotField>
    <pivotField compact="0" numFmtId="14" outline="0" showAll="0">
      <items count="343">
        <item x="55"/>
        <item x="277"/>
        <item x="149"/>
        <item x="122"/>
        <item x="5"/>
        <item x="314"/>
        <item x="142"/>
        <item x="155"/>
        <item x="112"/>
        <item x="19"/>
        <item x="6"/>
        <item x="181"/>
        <item x="73"/>
        <item x="44"/>
        <item x="214"/>
        <item x="153"/>
        <item x="48"/>
        <item x="262"/>
        <item x="7"/>
        <item x="83"/>
        <item x="340"/>
        <item x="324"/>
        <item x="3"/>
        <item x="199"/>
        <item x="30"/>
        <item x="250"/>
        <item x="110"/>
        <item x="244"/>
        <item x="238"/>
        <item x="198"/>
        <item x="133"/>
        <item x="37"/>
        <item x="236"/>
        <item x="229"/>
        <item x="219"/>
        <item x="131"/>
        <item x="192"/>
        <item x="235"/>
        <item x="13"/>
        <item x="177"/>
        <item x="326"/>
        <item x="246"/>
        <item x="57"/>
        <item x="220"/>
        <item x="129"/>
        <item x="206"/>
        <item x="176"/>
        <item x="106"/>
        <item x="315"/>
        <item x="233"/>
        <item x="152"/>
        <item x="91"/>
        <item x="113"/>
        <item x="82"/>
        <item x="132"/>
        <item x="302"/>
        <item x="41"/>
        <item x="175"/>
        <item x="32"/>
        <item x="103"/>
        <item x="321"/>
        <item x="210"/>
        <item x="66"/>
        <item x="151"/>
        <item x="232"/>
        <item x="135"/>
        <item x="143"/>
        <item x="252"/>
        <item x="310"/>
        <item x="242"/>
        <item x="156"/>
        <item x="301"/>
        <item x="109"/>
        <item x="226"/>
        <item x="207"/>
        <item x="167"/>
        <item x="63"/>
        <item x="209"/>
        <item x="338"/>
        <item x="123"/>
        <item x="287"/>
        <item x="159"/>
        <item x="88"/>
        <item x="157"/>
        <item x="124"/>
        <item x="59"/>
        <item x="154"/>
        <item x="196"/>
        <item x="272"/>
        <item x="234"/>
        <item x="331"/>
        <item x="51"/>
        <item x="172"/>
        <item x="289"/>
        <item x="125"/>
        <item x="184"/>
        <item x="237"/>
        <item x="240"/>
        <item x="284"/>
        <item x="77"/>
        <item x="144"/>
        <item x="79"/>
        <item x="260"/>
        <item x="180"/>
        <item x="126"/>
        <item x="71"/>
        <item x="35"/>
        <item x="291"/>
        <item x="87"/>
        <item x="212"/>
        <item x="118"/>
        <item x="45"/>
        <item x="195"/>
        <item x="92"/>
        <item x="99"/>
        <item x="194"/>
        <item x="304"/>
        <item x="274"/>
        <item x="121"/>
        <item x="300"/>
        <item x="328"/>
        <item x="179"/>
        <item x="323"/>
        <item x="296"/>
        <item x="65"/>
        <item x="28"/>
        <item x="249"/>
        <item x="105"/>
        <item x="107"/>
        <item x="101"/>
        <item x="312"/>
        <item x="108"/>
        <item x="215"/>
        <item x="211"/>
        <item x="168"/>
        <item x="271"/>
        <item x="96"/>
        <item x="224"/>
        <item x="228"/>
        <item x="283"/>
        <item x="341"/>
        <item x="303"/>
        <item x="203"/>
        <item x="166"/>
        <item x="69"/>
        <item x="127"/>
        <item x="1"/>
        <item x="225"/>
        <item x="332"/>
        <item x="70"/>
        <item x="52"/>
        <item x="174"/>
        <item x="2"/>
        <item x="14"/>
        <item x="273"/>
        <item x="136"/>
        <item x="327"/>
        <item x="128"/>
        <item x="339"/>
        <item x="290"/>
        <item x="50"/>
        <item x="111"/>
        <item x="293"/>
        <item x="85"/>
        <item x="89"/>
        <item x="282"/>
        <item x="164"/>
        <item x="84"/>
        <item x="18"/>
        <item x="208"/>
        <item x="190"/>
        <item x="305"/>
        <item x="256"/>
        <item x="56"/>
        <item x="227"/>
        <item x="201"/>
        <item x="205"/>
        <item x="318"/>
        <item x="313"/>
        <item x="222"/>
        <item x="75"/>
        <item x="322"/>
        <item x="255"/>
        <item x="317"/>
        <item x="53"/>
        <item x="248"/>
        <item x="80"/>
        <item x="259"/>
        <item x="295"/>
        <item x="288"/>
        <item x="278"/>
        <item x="223"/>
        <item x="43"/>
        <item x="292"/>
        <item x="22"/>
        <item x="94"/>
        <item x="187"/>
        <item x="276"/>
        <item x="40"/>
        <item x="325"/>
        <item x="269"/>
        <item x="25"/>
        <item x="279"/>
        <item x="158"/>
        <item x="307"/>
        <item x="333"/>
        <item x="202"/>
        <item x="24"/>
        <item x="230"/>
        <item x="4"/>
        <item x="93"/>
        <item x="114"/>
        <item x="67"/>
        <item x="26"/>
        <item x="145"/>
        <item x="39"/>
        <item x="253"/>
        <item x="245"/>
        <item x="54"/>
        <item x="76"/>
        <item x="150"/>
        <item x="119"/>
        <item x="294"/>
        <item x="267"/>
        <item x="265"/>
        <item x="281"/>
        <item x="297"/>
        <item x="38"/>
        <item x="98"/>
        <item x="221"/>
        <item x="162"/>
        <item x="15"/>
        <item x="62"/>
        <item x="20"/>
        <item x="185"/>
        <item x="264"/>
        <item x="251"/>
        <item x="275"/>
        <item x="170"/>
        <item x="148"/>
        <item x="306"/>
        <item x="100"/>
        <item x="311"/>
        <item x="86"/>
        <item x="216"/>
        <item x="42"/>
        <item x="334"/>
        <item x="165"/>
        <item x="72"/>
        <item x="130"/>
        <item x="23"/>
        <item x="261"/>
        <item x="58"/>
        <item x="336"/>
        <item x="299"/>
        <item x="280"/>
        <item x="49"/>
        <item x="163"/>
        <item x="141"/>
        <item x="213"/>
        <item x="16"/>
        <item x="74"/>
        <item x="115"/>
        <item x="189"/>
        <item x="329"/>
        <item x="217"/>
        <item x="298"/>
        <item x="138"/>
        <item x="95"/>
        <item x="31"/>
        <item x="146"/>
        <item x="197"/>
        <item x="319"/>
        <item x="102"/>
        <item x="10"/>
        <item x="308"/>
        <item x="286"/>
        <item x="27"/>
        <item x="64"/>
        <item x="97"/>
        <item x="320"/>
        <item x="21"/>
        <item x="247"/>
        <item x="239"/>
        <item x="268"/>
        <item x="193"/>
        <item x="68"/>
        <item x="9"/>
        <item x="29"/>
        <item x="316"/>
        <item x="270"/>
        <item x="90"/>
        <item x="183"/>
        <item x="188"/>
        <item x="46"/>
        <item x="116"/>
        <item x="182"/>
        <item x="335"/>
        <item x="78"/>
        <item x="161"/>
        <item x="160"/>
        <item x="134"/>
        <item x="60"/>
        <item x="147"/>
        <item x="178"/>
        <item x="8"/>
        <item x="0"/>
        <item x="258"/>
        <item x="120"/>
        <item x="47"/>
        <item x="34"/>
        <item x="241"/>
        <item x="11"/>
        <item x="61"/>
        <item x="191"/>
        <item x="186"/>
        <item x="330"/>
        <item x="139"/>
        <item x="173"/>
        <item x="171"/>
        <item x="243"/>
        <item x="117"/>
        <item x="337"/>
        <item x="140"/>
        <item x="104"/>
        <item x="200"/>
        <item x="257"/>
        <item x="285"/>
        <item x="204"/>
        <item x="36"/>
        <item x="169"/>
        <item x="12"/>
        <item x="266"/>
        <item x="231"/>
        <item x="81"/>
        <item x="309"/>
        <item x="137"/>
        <item x="254"/>
        <item x="33"/>
        <item x="263"/>
        <item x="17"/>
        <item x="218"/>
        <item t="default"/>
      </items>
    </pivotField>
    <pivotField compact="0" outline="0" showAll="0"/>
    <pivotField compact="0" outline="0" showAll="0">
      <items count="5">
        <item x="2"/>
        <item x="3"/>
        <item x="1"/>
        <item x="0"/>
        <item t="default"/>
      </items>
    </pivotField>
    <pivotField compact="0" outline="0" showAll="0">
      <items count="6">
        <item x="3"/>
        <item x="0"/>
        <item x="2"/>
        <item x="4"/>
        <item x="1"/>
        <item t="default"/>
      </items>
    </pivotField>
    <pivotField compact="0" outline="0" showAll="0">
      <items count="11">
        <item x="4"/>
        <item x="8"/>
        <item x="7"/>
        <item x="3"/>
        <item x="1"/>
        <item x="9"/>
        <item x="6"/>
        <item x="0"/>
        <item x="2"/>
        <item x="5"/>
        <item t="default"/>
      </items>
    </pivotField>
    <pivotField compact="0" outline="0" showAll="0">
      <items count="5">
        <item x="1"/>
        <item x="3"/>
        <item x="0"/>
        <item x="2"/>
        <item t="default"/>
      </items>
    </pivotField>
    <pivotField compact="0" outline="0" showAll="0"/>
    <pivotField dataField="1" compact="0" outline="0" showAll="0"/>
    <pivotField compact="0" outline="0" showAll="0"/>
    <pivotField compact="0" outline="0" showAll="0">
      <items count="7">
        <item x="4"/>
        <item x="2"/>
        <item x="3"/>
        <item x="5"/>
        <item x="1"/>
        <item x="0"/>
        <item t="default"/>
      </items>
    </pivotField>
    <pivotField compact="0" outline="0" showAll="0"/>
    <pivotField axis="axisRow"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sd="0" x="5"/>
        <item t="default"/>
      </items>
    </pivotField>
    <pivotField compact="0" outline="0" showAll="0">
      <items count="5">
        <item sd="0" x="0"/>
        <item sd="0" x="1"/>
        <item sd="0" x="2"/>
        <item sd="0" x="3"/>
        <item t="default"/>
      </items>
    </pivotField>
  </pivotFields>
  <rowFields count="1">
    <field x="14"/>
  </rowFields>
  <rowItems count="13">
    <i>
      <x v="1"/>
    </i>
    <i>
      <x v="2"/>
    </i>
    <i>
      <x v="3"/>
    </i>
    <i>
      <x v="4"/>
    </i>
    <i>
      <x v="5"/>
    </i>
    <i>
      <x v="6"/>
    </i>
    <i>
      <x v="7"/>
    </i>
    <i>
      <x v="8"/>
    </i>
    <i>
      <x v="9"/>
    </i>
    <i>
      <x v="10"/>
    </i>
    <i>
      <x v="11"/>
    </i>
    <i>
      <x v="12"/>
    </i>
    <i t="grand">
      <x/>
    </i>
  </rowItems>
  <colItems count="1">
    <i/>
  </colItems>
  <dataFields count="1">
    <dataField name="Sum of IsFraud" fld="10" baseField="0" baseItem="0"/>
  </dataFields>
  <chartFormats count="3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4" count="1" selected="0">
            <x v="12"/>
          </reference>
        </references>
      </pivotArea>
    </chartFormat>
    <chartFormat chart="2" format="2">
      <pivotArea type="data" outline="0" fieldPosition="0">
        <references count="2">
          <reference field="4294967294" count="1" selected="0">
            <x v="0"/>
          </reference>
          <reference field="14" count="1" selected="0">
            <x v="11"/>
          </reference>
        </references>
      </pivotArea>
    </chartFormat>
    <chartFormat chart="2" format="3">
      <pivotArea type="data" outline="0" fieldPosition="0">
        <references count="2">
          <reference field="4294967294" count="1" selected="0">
            <x v="0"/>
          </reference>
          <reference field="14" count="1" selected="0">
            <x v="10"/>
          </reference>
        </references>
      </pivotArea>
    </chartFormat>
    <chartFormat chart="2" format="4">
      <pivotArea type="data" outline="0" fieldPosition="0">
        <references count="2">
          <reference field="4294967294" count="1" selected="0">
            <x v="0"/>
          </reference>
          <reference field="14" count="1" selected="0">
            <x v="9"/>
          </reference>
        </references>
      </pivotArea>
    </chartFormat>
    <chartFormat chart="2" format="5">
      <pivotArea type="data" outline="0" fieldPosition="0">
        <references count="2">
          <reference field="4294967294" count="1" selected="0">
            <x v="0"/>
          </reference>
          <reference field="14" count="1" selected="0">
            <x v="8"/>
          </reference>
        </references>
      </pivotArea>
    </chartFormat>
    <chartFormat chart="2" format="6">
      <pivotArea type="data" outline="0" fieldPosition="0">
        <references count="2">
          <reference field="4294967294" count="1" selected="0">
            <x v="0"/>
          </reference>
          <reference field="14" count="1" selected="0">
            <x v="7"/>
          </reference>
        </references>
      </pivotArea>
    </chartFormat>
    <chartFormat chart="2" format="7">
      <pivotArea type="data" outline="0" fieldPosition="0">
        <references count="2">
          <reference field="4294967294" count="1" selected="0">
            <x v="0"/>
          </reference>
          <reference field="14" count="1" selected="0">
            <x v="5"/>
          </reference>
        </references>
      </pivotArea>
    </chartFormat>
    <chartFormat chart="2" format="8">
      <pivotArea type="data" outline="0" fieldPosition="0">
        <references count="2">
          <reference field="4294967294" count="1" selected="0">
            <x v="0"/>
          </reference>
          <reference field="14" count="1" selected="0">
            <x v="3"/>
          </reference>
        </references>
      </pivotArea>
    </chartFormat>
    <chartFormat chart="2" format="9">
      <pivotArea type="data" outline="0" fieldPosition="0">
        <references count="2">
          <reference field="4294967294" count="1" selected="0">
            <x v="0"/>
          </reference>
          <reference field="14" count="1" selected="0">
            <x v="2"/>
          </reference>
        </references>
      </pivotArea>
    </chartFormat>
    <chartFormat chart="2" format="10">
      <pivotArea type="data" outline="0" fieldPosition="0">
        <references count="2">
          <reference field="4294967294" count="1" selected="0">
            <x v="0"/>
          </reference>
          <reference field="14" count="1" selected="0">
            <x v="4"/>
          </reference>
        </references>
      </pivotArea>
    </chartFormat>
    <chartFormat chart="2" format="11">
      <pivotArea type="data" outline="0" fieldPosition="0">
        <references count="2">
          <reference field="4294967294" count="1" selected="0">
            <x v="0"/>
          </reference>
          <reference field="14" count="1" selected="0">
            <x v="6"/>
          </reference>
        </references>
      </pivotArea>
    </chartFormat>
    <chartFormat chart="8" format="12" series="1">
      <pivotArea type="data" outline="0" fieldPosition="0">
        <references count="1">
          <reference field="4294967294" count="1" selected="0">
            <x v="0"/>
          </reference>
        </references>
      </pivotArea>
    </chartFormat>
    <chartFormat chart="8" format="13">
      <pivotArea type="data" outline="0" fieldPosition="0">
        <references count="2">
          <reference field="4294967294" count="1" selected="0">
            <x v="0"/>
          </reference>
          <reference field="14" count="1" selected="0">
            <x v="2"/>
          </reference>
        </references>
      </pivotArea>
    </chartFormat>
    <chartFormat chart="8" format="14">
      <pivotArea type="data" outline="0" fieldPosition="0">
        <references count="2">
          <reference field="4294967294" count="1" selected="0">
            <x v="0"/>
          </reference>
          <reference field="14" count="1" selected="0">
            <x v="3"/>
          </reference>
        </references>
      </pivotArea>
    </chartFormat>
    <chartFormat chart="8" format="15">
      <pivotArea type="data" outline="0" fieldPosition="0">
        <references count="2">
          <reference field="4294967294" count="1" selected="0">
            <x v="0"/>
          </reference>
          <reference field="14" count="1" selected="0">
            <x v="4"/>
          </reference>
        </references>
      </pivotArea>
    </chartFormat>
    <chartFormat chart="8" format="16">
      <pivotArea type="data" outline="0" fieldPosition="0">
        <references count="2">
          <reference field="4294967294" count="1" selected="0">
            <x v="0"/>
          </reference>
          <reference field="14" count="1" selected="0">
            <x v="5"/>
          </reference>
        </references>
      </pivotArea>
    </chartFormat>
    <chartFormat chart="8" format="17">
      <pivotArea type="data" outline="0" fieldPosition="0">
        <references count="2">
          <reference field="4294967294" count="1" selected="0">
            <x v="0"/>
          </reference>
          <reference field="14" count="1" selected="0">
            <x v="6"/>
          </reference>
        </references>
      </pivotArea>
    </chartFormat>
    <chartFormat chart="8" format="18">
      <pivotArea type="data" outline="0" fieldPosition="0">
        <references count="2">
          <reference field="4294967294" count="1" selected="0">
            <x v="0"/>
          </reference>
          <reference field="14" count="1" selected="0">
            <x v="7"/>
          </reference>
        </references>
      </pivotArea>
    </chartFormat>
    <chartFormat chart="8" format="19">
      <pivotArea type="data" outline="0" fieldPosition="0">
        <references count="2">
          <reference field="4294967294" count="1" selected="0">
            <x v="0"/>
          </reference>
          <reference field="14" count="1" selected="0">
            <x v="8"/>
          </reference>
        </references>
      </pivotArea>
    </chartFormat>
    <chartFormat chart="8" format="20">
      <pivotArea type="data" outline="0" fieldPosition="0">
        <references count="2">
          <reference field="4294967294" count="1" selected="0">
            <x v="0"/>
          </reference>
          <reference field="14" count="1" selected="0">
            <x v="9"/>
          </reference>
        </references>
      </pivotArea>
    </chartFormat>
    <chartFormat chart="8" format="21">
      <pivotArea type="data" outline="0" fieldPosition="0">
        <references count="2">
          <reference field="4294967294" count="1" selected="0">
            <x v="0"/>
          </reference>
          <reference field="14" count="1" selected="0">
            <x v="10"/>
          </reference>
        </references>
      </pivotArea>
    </chartFormat>
    <chartFormat chart="8" format="22">
      <pivotArea type="data" outline="0" fieldPosition="0">
        <references count="2">
          <reference field="4294967294" count="1" selected="0">
            <x v="0"/>
          </reference>
          <reference field="14" count="1" selected="0">
            <x v="11"/>
          </reference>
        </references>
      </pivotArea>
    </chartFormat>
    <chartFormat chart="8" format="23">
      <pivotArea type="data" outline="0" fieldPosition="0">
        <references count="2">
          <reference field="4294967294" count="1" selected="0">
            <x v="0"/>
          </reference>
          <reference field="14" count="1" selected="0">
            <x v="12"/>
          </reference>
        </references>
      </pivotArea>
    </chartFormat>
    <chartFormat chart="13" format="24" series="1">
      <pivotArea type="data" outline="0" fieldPosition="0">
        <references count="1">
          <reference field="4294967294" count="1" selected="0">
            <x v="0"/>
          </reference>
        </references>
      </pivotArea>
    </chartFormat>
    <chartFormat chart="13" format="25">
      <pivotArea type="data" outline="0" fieldPosition="0">
        <references count="2">
          <reference field="4294967294" count="1" selected="0">
            <x v="0"/>
          </reference>
          <reference field="14" count="1" selected="0">
            <x v="2"/>
          </reference>
        </references>
      </pivotArea>
    </chartFormat>
    <chartFormat chart="13" format="26">
      <pivotArea type="data" outline="0" fieldPosition="0">
        <references count="2">
          <reference field="4294967294" count="1" selected="0">
            <x v="0"/>
          </reference>
          <reference field="14" count="1" selected="0">
            <x v="3"/>
          </reference>
        </references>
      </pivotArea>
    </chartFormat>
    <chartFormat chart="13" format="27">
      <pivotArea type="data" outline="0" fieldPosition="0">
        <references count="2">
          <reference field="4294967294" count="1" selected="0">
            <x v="0"/>
          </reference>
          <reference field="14" count="1" selected="0">
            <x v="4"/>
          </reference>
        </references>
      </pivotArea>
    </chartFormat>
    <chartFormat chart="13" format="28">
      <pivotArea type="data" outline="0" fieldPosition="0">
        <references count="2">
          <reference field="4294967294" count="1" selected="0">
            <x v="0"/>
          </reference>
          <reference field="14" count="1" selected="0">
            <x v="5"/>
          </reference>
        </references>
      </pivotArea>
    </chartFormat>
    <chartFormat chart="13" format="29">
      <pivotArea type="data" outline="0" fieldPosition="0">
        <references count="2">
          <reference field="4294967294" count="1" selected="0">
            <x v="0"/>
          </reference>
          <reference field="14" count="1" selected="0">
            <x v="6"/>
          </reference>
        </references>
      </pivotArea>
    </chartFormat>
    <chartFormat chart="13" format="30">
      <pivotArea type="data" outline="0" fieldPosition="0">
        <references count="2">
          <reference field="4294967294" count="1" selected="0">
            <x v="0"/>
          </reference>
          <reference field="14" count="1" selected="0">
            <x v="7"/>
          </reference>
        </references>
      </pivotArea>
    </chartFormat>
    <chartFormat chart="13" format="31">
      <pivotArea type="data" outline="0" fieldPosition="0">
        <references count="2">
          <reference field="4294967294" count="1" selected="0">
            <x v="0"/>
          </reference>
          <reference field="14" count="1" selected="0">
            <x v="8"/>
          </reference>
        </references>
      </pivotArea>
    </chartFormat>
    <chartFormat chart="13" format="32">
      <pivotArea type="data" outline="0" fieldPosition="0">
        <references count="2">
          <reference field="4294967294" count="1" selected="0">
            <x v="0"/>
          </reference>
          <reference field="14" count="1" selected="0">
            <x v="9"/>
          </reference>
        </references>
      </pivotArea>
    </chartFormat>
    <chartFormat chart="13" format="33">
      <pivotArea type="data" outline="0" fieldPosition="0">
        <references count="2">
          <reference field="4294967294" count="1" selected="0">
            <x v="0"/>
          </reference>
          <reference field="14" count="1" selected="0">
            <x v="10"/>
          </reference>
        </references>
      </pivotArea>
    </chartFormat>
    <chartFormat chart="13" format="34">
      <pivotArea type="data" outline="0" fieldPosition="0">
        <references count="2">
          <reference field="4294967294" count="1" selected="0">
            <x v="0"/>
          </reference>
          <reference field="14" count="1" selected="0">
            <x v="11"/>
          </reference>
        </references>
      </pivotArea>
    </chartFormat>
    <chartFormat chart="13" format="35">
      <pivotArea type="data" outline="0" fieldPosition="0">
        <references count="2">
          <reference field="4294967294" count="1" selected="0">
            <x v="0"/>
          </reference>
          <reference field="14"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DDD1CEA-E145-4E08-81E5-80E5B4CADCA3}"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S3:T5" firstHeaderRow="1" firstDataRow="1" firstDataCol="1"/>
  <pivotFields count="17">
    <pivotField showAll="0"/>
    <pivotField showAll="0"/>
    <pivotField showAll="0"/>
    <pivotField numFmtId="14" showAll="0">
      <items count="343">
        <item x="55"/>
        <item x="277"/>
        <item x="149"/>
        <item x="122"/>
        <item x="5"/>
        <item x="314"/>
        <item x="142"/>
        <item x="155"/>
        <item x="112"/>
        <item x="19"/>
        <item x="6"/>
        <item x="181"/>
        <item x="73"/>
        <item x="44"/>
        <item x="214"/>
        <item x="153"/>
        <item x="48"/>
        <item x="262"/>
        <item x="7"/>
        <item x="83"/>
        <item x="340"/>
        <item x="324"/>
        <item x="3"/>
        <item x="199"/>
        <item x="30"/>
        <item x="250"/>
        <item x="110"/>
        <item x="244"/>
        <item x="238"/>
        <item x="198"/>
        <item x="133"/>
        <item x="37"/>
        <item x="236"/>
        <item x="229"/>
        <item x="219"/>
        <item x="131"/>
        <item x="192"/>
        <item x="235"/>
        <item x="13"/>
        <item x="177"/>
        <item x="326"/>
        <item x="246"/>
        <item x="57"/>
        <item x="220"/>
        <item x="129"/>
        <item x="206"/>
        <item x="176"/>
        <item x="106"/>
        <item x="315"/>
        <item x="233"/>
        <item x="152"/>
        <item x="91"/>
        <item x="113"/>
        <item x="82"/>
        <item x="132"/>
        <item x="302"/>
        <item x="41"/>
        <item x="175"/>
        <item x="32"/>
        <item x="103"/>
        <item x="321"/>
        <item x="210"/>
        <item x="66"/>
        <item x="151"/>
        <item x="232"/>
        <item x="135"/>
        <item x="143"/>
        <item x="252"/>
        <item x="310"/>
        <item x="242"/>
        <item x="156"/>
        <item x="301"/>
        <item x="109"/>
        <item x="226"/>
        <item x="207"/>
        <item x="167"/>
        <item x="63"/>
        <item x="209"/>
        <item x="338"/>
        <item x="123"/>
        <item x="287"/>
        <item x="159"/>
        <item x="88"/>
        <item x="157"/>
        <item x="124"/>
        <item x="59"/>
        <item x="154"/>
        <item x="196"/>
        <item x="272"/>
        <item x="234"/>
        <item x="331"/>
        <item x="51"/>
        <item x="172"/>
        <item x="289"/>
        <item x="125"/>
        <item x="184"/>
        <item x="237"/>
        <item x="240"/>
        <item x="284"/>
        <item x="77"/>
        <item x="144"/>
        <item x="79"/>
        <item x="260"/>
        <item x="180"/>
        <item x="126"/>
        <item x="71"/>
        <item x="35"/>
        <item x="291"/>
        <item x="87"/>
        <item x="212"/>
        <item x="118"/>
        <item x="45"/>
        <item x="195"/>
        <item x="92"/>
        <item x="99"/>
        <item x="194"/>
        <item x="304"/>
        <item x="274"/>
        <item x="121"/>
        <item x="300"/>
        <item x="328"/>
        <item x="179"/>
        <item x="323"/>
        <item x="296"/>
        <item x="65"/>
        <item x="28"/>
        <item x="249"/>
        <item x="105"/>
        <item x="107"/>
        <item x="101"/>
        <item x="312"/>
        <item x="108"/>
        <item x="215"/>
        <item x="211"/>
        <item x="168"/>
        <item x="271"/>
        <item x="96"/>
        <item x="224"/>
        <item x="228"/>
        <item x="283"/>
        <item x="341"/>
        <item x="303"/>
        <item x="203"/>
        <item x="166"/>
        <item x="69"/>
        <item x="127"/>
        <item x="1"/>
        <item x="225"/>
        <item x="332"/>
        <item x="70"/>
        <item x="52"/>
        <item x="174"/>
        <item x="2"/>
        <item x="14"/>
        <item x="273"/>
        <item x="136"/>
        <item x="327"/>
        <item x="128"/>
        <item x="339"/>
        <item x="290"/>
        <item x="50"/>
        <item x="111"/>
        <item x="293"/>
        <item x="85"/>
        <item x="89"/>
        <item x="282"/>
        <item x="164"/>
        <item x="84"/>
        <item x="18"/>
        <item x="208"/>
        <item x="190"/>
        <item x="305"/>
        <item x="256"/>
        <item x="56"/>
        <item x="227"/>
        <item x="201"/>
        <item x="205"/>
        <item x="318"/>
        <item x="313"/>
        <item x="222"/>
        <item x="75"/>
        <item x="322"/>
        <item x="255"/>
        <item x="317"/>
        <item x="53"/>
        <item x="248"/>
        <item x="80"/>
        <item x="259"/>
        <item x="295"/>
        <item x="288"/>
        <item x="278"/>
        <item x="223"/>
        <item x="43"/>
        <item x="292"/>
        <item x="22"/>
        <item x="94"/>
        <item x="187"/>
        <item x="276"/>
        <item x="40"/>
        <item x="325"/>
        <item x="269"/>
        <item x="25"/>
        <item x="279"/>
        <item x="158"/>
        <item x="307"/>
        <item x="333"/>
        <item x="202"/>
        <item x="24"/>
        <item x="230"/>
        <item x="4"/>
        <item x="93"/>
        <item x="114"/>
        <item x="67"/>
        <item x="26"/>
        <item x="145"/>
        <item x="39"/>
        <item x="253"/>
        <item x="245"/>
        <item x="54"/>
        <item x="76"/>
        <item x="150"/>
        <item x="119"/>
        <item x="294"/>
        <item x="267"/>
        <item x="265"/>
        <item x="281"/>
        <item x="297"/>
        <item x="38"/>
        <item x="98"/>
        <item x="221"/>
        <item x="162"/>
        <item x="15"/>
        <item x="62"/>
        <item x="20"/>
        <item x="185"/>
        <item x="264"/>
        <item x="251"/>
        <item x="275"/>
        <item x="170"/>
        <item x="148"/>
        <item x="306"/>
        <item x="100"/>
        <item x="311"/>
        <item x="86"/>
        <item x="216"/>
        <item x="42"/>
        <item x="334"/>
        <item x="165"/>
        <item x="72"/>
        <item x="130"/>
        <item x="23"/>
        <item x="261"/>
        <item x="58"/>
        <item x="336"/>
        <item x="299"/>
        <item x="280"/>
        <item x="49"/>
        <item x="163"/>
        <item x="141"/>
        <item x="213"/>
        <item x="16"/>
        <item x="74"/>
        <item x="115"/>
        <item x="189"/>
        <item x="329"/>
        <item x="217"/>
        <item x="298"/>
        <item x="138"/>
        <item x="95"/>
        <item x="31"/>
        <item x="146"/>
        <item x="197"/>
        <item x="319"/>
        <item x="102"/>
        <item x="10"/>
        <item x="308"/>
        <item x="286"/>
        <item x="27"/>
        <item x="64"/>
        <item x="97"/>
        <item x="320"/>
        <item x="21"/>
        <item x="247"/>
        <item x="239"/>
        <item x="268"/>
        <item x="193"/>
        <item x="68"/>
        <item x="9"/>
        <item x="29"/>
        <item x="316"/>
        <item x="270"/>
        <item x="90"/>
        <item x="183"/>
        <item x="188"/>
        <item x="46"/>
        <item x="116"/>
        <item x="182"/>
        <item x="335"/>
        <item x="78"/>
        <item x="161"/>
        <item x="160"/>
        <item x="134"/>
        <item x="60"/>
        <item x="147"/>
        <item x="178"/>
        <item x="8"/>
        <item x="0"/>
        <item x="258"/>
        <item x="120"/>
        <item x="47"/>
        <item x="34"/>
        <item x="241"/>
        <item x="11"/>
        <item x="61"/>
        <item x="191"/>
        <item x="186"/>
        <item x="330"/>
        <item x="139"/>
        <item x="173"/>
        <item x="171"/>
        <item x="243"/>
        <item x="117"/>
        <item x="337"/>
        <item x="140"/>
        <item x="104"/>
        <item x="200"/>
        <item x="257"/>
        <item x="285"/>
        <item x="204"/>
        <item x="36"/>
        <item x="169"/>
        <item x="12"/>
        <item x="266"/>
        <item x="231"/>
        <item x="81"/>
        <item x="309"/>
        <item x="137"/>
        <item x="254"/>
        <item x="33"/>
        <item x="263"/>
        <item x="17"/>
        <item x="218"/>
        <item t="default"/>
      </items>
    </pivotField>
    <pivotField showAll="0"/>
    <pivotField axis="axisRow" showAll="0">
      <items count="5">
        <item x="2"/>
        <item h="1" x="3"/>
        <item h="1" x="1"/>
        <item h="1" x="0"/>
        <item t="default"/>
      </items>
    </pivotField>
    <pivotField dataField="1" showAll="0">
      <items count="6">
        <item x="3"/>
        <item x="0"/>
        <item x="2"/>
        <item x="4"/>
        <item x="1"/>
        <item t="default"/>
      </items>
    </pivotField>
    <pivotField showAll="0">
      <items count="11">
        <item x="4"/>
        <item x="8"/>
        <item x="7"/>
        <item x="3"/>
        <item x="1"/>
        <item x="9"/>
        <item x="6"/>
        <item x="0"/>
        <item x="2"/>
        <item x="5"/>
        <item t="default"/>
      </items>
    </pivotField>
    <pivotField showAll="0">
      <items count="5">
        <item x="1"/>
        <item x="3"/>
        <item x="0"/>
        <item x="2"/>
        <item t="default"/>
      </items>
    </pivotField>
    <pivotField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s>
  <rowFields count="1">
    <field x="5"/>
  </rowFields>
  <rowItems count="2">
    <i>
      <x/>
    </i>
    <i t="grand">
      <x/>
    </i>
  </rowItems>
  <colItems count="1">
    <i/>
  </colItems>
  <dataFields count="1">
    <dataField name="Count of Fraud Type" fld="6" subtotal="count" baseField="0" baseItem="0"/>
  </dataFields>
  <formats count="5">
    <format dxfId="14">
      <pivotArea type="all" dataOnly="0" outline="0" fieldPosition="0"/>
    </format>
    <format dxfId="13">
      <pivotArea outline="0" collapsedLevelsAreSubtotals="1" fieldPosition="0"/>
    </format>
    <format dxfId="12">
      <pivotArea field="14" type="button" dataOnly="0" labelOnly="1" outline="0"/>
    </format>
    <format dxfId="11">
      <pivotArea dataOnly="0" labelOnly="1" grandRow="1" outline="0" fieldPosition="0"/>
    </format>
    <format dxfId="1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FE871E9-21CB-48F4-9ACA-2C148C68A52E}"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N3:O16" firstHeaderRow="1" firstDataRow="1" firstDataCol="1"/>
  <pivotFields count="17">
    <pivotField showAll="0"/>
    <pivotField showAll="0"/>
    <pivotField showAll="0"/>
    <pivotField numFmtId="14" showAll="0">
      <items count="343">
        <item x="55"/>
        <item x="277"/>
        <item x="149"/>
        <item x="122"/>
        <item x="5"/>
        <item x="314"/>
        <item x="142"/>
        <item x="155"/>
        <item x="112"/>
        <item x="19"/>
        <item x="6"/>
        <item x="181"/>
        <item x="73"/>
        <item x="44"/>
        <item x="214"/>
        <item x="153"/>
        <item x="48"/>
        <item x="262"/>
        <item x="7"/>
        <item x="83"/>
        <item x="340"/>
        <item x="324"/>
        <item x="3"/>
        <item x="199"/>
        <item x="30"/>
        <item x="250"/>
        <item x="110"/>
        <item x="244"/>
        <item x="238"/>
        <item x="198"/>
        <item x="133"/>
        <item x="37"/>
        <item x="236"/>
        <item x="229"/>
        <item x="219"/>
        <item x="131"/>
        <item x="192"/>
        <item x="235"/>
        <item x="13"/>
        <item x="177"/>
        <item x="326"/>
        <item x="246"/>
        <item x="57"/>
        <item x="220"/>
        <item x="129"/>
        <item x="206"/>
        <item x="176"/>
        <item x="106"/>
        <item x="315"/>
        <item x="233"/>
        <item x="152"/>
        <item x="91"/>
        <item x="113"/>
        <item x="82"/>
        <item x="132"/>
        <item x="302"/>
        <item x="41"/>
        <item x="175"/>
        <item x="32"/>
        <item x="103"/>
        <item x="321"/>
        <item x="210"/>
        <item x="66"/>
        <item x="151"/>
        <item x="232"/>
        <item x="135"/>
        <item x="143"/>
        <item x="252"/>
        <item x="310"/>
        <item x="242"/>
        <item x="156"/>
        <item x="301"/>
        <item x="109"/>
        <item x="226"/>
        <item x="207"/>
        <item x="167"/>
        <item x="63"/>
        <item x="209"/>
        <item x="338"/>
        <item x="123"/>
        <item x="287"/>
        <item x="159"/>
        <item x="88"/>
        <item x="157"/>
        <item x="124"/>
        <item x="59"/>
        <item x="154"/>
        <item x="196"/>
        <item x="272"/>
        <item x="234"/>
        <item x="331"/>
        <item x="51"/>
        <item x="172"/>
        <item x="289"/>
        <item x="125"/>
        <item x="184"/>
        <item x="237"/>
        <item x="240"/>
        <item x="284"/>
        <item x="77"/>
        <item x="144"/>
        <item x="79"/>
        <item x="260"/>
        <item x="180"/>
        <item x="126"/>
        <item x="71"/>
        <item x="35"/>
        <item x="291"/>
        <item x="87"/>
        <item x="212"/>
        <item x="118"/>
        <item x="45"/>
        <item x="195"/>
        <item x="92"/>
        <item x="99"/>
        <item x="194"/>
        <item x="304"/>
        <item x="274"/>
        <item x="121"/>
        <item x="300"/>
        <item x="328"/>
        <item x="179"/>
        <item x="323"/>
        <item x="296"/>
        <item x="65"/>
        <item x="28"/>
        <item x="249"/>
        <item x="105"/>
        <item x="107"/>
        <item x="101"/>
        <item x="312"/>
        <item x="108"/>
        <item x="215"/>
        <item x="211"/>
        <item x="168"/>
        <item x="271"/>
        <item x="96"/>
        <item x="224"/>
        <item x="228"/>
        <item x="283"/>
        <item x="341"/>
        <item x="303"/>
        <item x="203"/>
        <item x="166"/>
        <item x="69"/>
        <item x="127"/>
        <item x="1"/>
        <item x="225"/>
        <item x="332"/>
        <item x="70"/>
        <item x="52"/>
        <item x="174"/>
        <item x="2"/>
        <item x="14"/>
        <item x="273"/>
        <item x="136"/>
        <item x="327"/>
        <item x="128"/>
        <item x="339"/>
        <item x="290"/>
        <item x="50"/>
        <item x="111"/>
        <item x="293"/>
        <item x="85"/>
        <item x="89"/>
        <item x="282"/>
        <item x="164"/>
        <item x="84"/>
        <item x="18"/>
        <item x="208"/>
        <item x="190"/>
        <item x="305"/>
        <item x="256"/>
        <item x="56"/>
        <item x="227"/>
        <item x="201"/>
        <item x="205"/>
        <item x="318"/>
        <item x="313"/>
        <item x="222"/>
        <item x="75"/>
        <item x="322"/>
        <item x="255"/>
        <item x="317"/>
        <item x="53"/>
        <item x="248"/>
        <item x="80"/>
        <item x="259"/>
        <item x="295"/>
        <item x="288"/>
        <item x="278"/>
        <item x="223"/>
        <item x="43"/>
        <item x="292"/>
        <item x="22"/>
        <item x="94"/>
        <item x="187"/>
        <item x="276"/>
        <item x="40"/>
        <item x="325"/>
        <item x="269"/>
        <item x="25"/>
        <item x="279"/>
        <item x="158"/>
        <item x="307"/>
        <item x="333"/>
        <item x="202"/>
        <item x="24"/>
        <item x="230"/>
        <item x="4"/>
        <item x="93"/>
        <item x="114"/>
        <item x="67"/>
        <item x="26"/>
        <item x="145"/>
        <item x="39"/>
        <item x="253"/>
        <item x="245"/>
        <item x="54"/>
        <item x="76"/>
        <item x="150"/>
        <item x="119"/>
        <item x="294"/>
        <item x="267"/>
        <item x="265"/>
        <item x="281"/>
        <item x="297"/>
        <item x="38"/>
        <item x="98"/>
        <item x="221"/>
        <item x="162"/>
        <item x="15"/>
        <item x="62"/>
        <item x="20"/>
        <item x="185"/>
        <item x="264"/>
        <item x="251"/>
        <item x="275"/>
        <item x="170"/>
        <item x="148"/>
        <item x="306"/>
        <item x="100"/>
        <item x="311"/>
        <item x="86"/>
        <item x="216"/>
        <item x="42"/>
        <item x="334"/>
        <item x="165"/>
        <item x="72"/>
        <item x="130"/>
        <item x="23"/>
        <item x="261"/>
        <item x="58"/>
        <item x="336"/>
        <item x="299"/>
        <item x="280"/>
        <item x="49"/>
        <item x="163"/>
        <item x="141"/>
        <item x="213"/>
        <item x="16"/>
        <item x="74"/>
        <item x="115"/>
        <item x="189"/>
        <item x="329"/>
        <item x="217"/>
        <item x="298"/>
        <item x="138"/>
        <item x="95"/>
        <item x="31"/>
        <item x="146"/>
        <item x="197"/>
        <item x="319"/>
        <item x="102"/>
        <item x="10"/>
        <item x="308"/>
        <item x="286"/>
        <item x="27"/>
        <item x="64"/>
        <item x="97"/>
        <item x="320"/>
        <item x="21"/>
        <item x="247"/>
        <item x="239"/>
        <item x="268"/>
        <item x="193"/>
        <item x="68"/>
        <item x="9"/>
        <item x="29"/>
        <item x="316"/>
        <item x="270"/>
        <item x="90"/>
        <item x="183"/>
        <item x="188"/>
        <item x="46"/>
        <item x="116"/>
        <item x="182"/>
        <item x="335"/>
        <item x="78"/>
        <item x="161"/>
        <item x="160"/>
        <item x="134"/>
        <item x="60"/>
        <item x="147"/>
        <item x="178"/>
        <item x="8"/>
        <item x="0"/>
        <item x="258"/>
        <item x="120"/>
        <item x="47"/>
        <item x="34"/>
        <item x="241"/>
        <item x="11"/>
        <item x="61"/>
        <item x="191"/>
        <item x="186"/>
        <item x="330"/>
        <item x="139"/>
        <item x="173"/>
        <item x="171"/>
        <item x="243"/>
        <item x="117"/>
        <item x="337"/>
        <item x="140"/>
        <item x="104"/>
        <item x="200"/>
        <item x="257"/>
        <item x="285"/>
        <item x="204"/>
        <item x="36"/>
        <item x="169"/>
        <item x="12"/>
        <item x="266"/>
        <item x="231"/>
        <item x="81"/>
        <item x="309"/>
        <item x="137"/>
        <item x="254"/>
        <item x="33"/>
        <item x="263"/>
        <item x="17"/>
        <item x="218"/>
        <item t="default"/>
      </items>
    </pivotField>
    <pivotField showAll="0"/>
    <pivotField showAll="0"/>
    <pivotField showAll="0">
      <items count="6">
        <item x="3"/>
        <item x="0"/>
        <item x="2"/>
        <item x="4"/>
        <item x="1"/>
        <item t="default"/>
      </items>
    </pivotField>
    <pivotField showAll="0">
      <items count="11">
        <item x="4"/>
        <item x="8"/>
        <item x="7"/>
        <item x="3"/>
        <item x="1"/>
        <item x="9"/>
        <item x="6"/>
        <item x="0"/>
        <item x="2"/>
        <item x="5"/>
        <item t="default"/>
      </items>
    </pivotField>
    <pivotField showAll="0">
      <items count="5">
        <item x="1"/>
        <item x="3"/>
        <item x="0"/>
        <item x="2"/>
        <item t="default"/>
      </items>
    </pivotField>
    <pivotField showAll="0"/>
    <pivotField dataField="1" showAll="0"/>
    <pivotField showAll="0"/>
    <pivotField showAll="0"/>
    <pivotField showAll="0"/>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s>
  <rowFields count="1">
    <field x="14"/>
  </rowFields>
  <rowItems count="13">
    <i>
      <x v="1"/>
    </i>
    <i>
      <x v="2"/>
    </i>
    <i>
      <x v="3"/>
    </i>
    <i>
      <x v="4"/>
    </i>
    <i>
      <x v="5"/>
    </i>
    <i>
      <x v="6"/>
    </i>
    <i>
      <x v="7"/>
    </i>
    <i>
      <x v="8"/>
    </i>
    <i>
      <x v="9"/>
    </i>
    <i>
      <x v="10"/>
    </i>
    <i>
      <x v="11"/>
    </i>
    <i>
      <x v="12"/>
    </i>
    <i t="grand">
      <x/>
    </i>
  </rowItems>
  <colItems count="1">
    <i/>
  </colItems>
  <dataFields count="1">
    <dataField name="Sum of IsFraud" fld="10" baseField="0" baseItem="0"/>
  </dataFields>
  <formats count="6">
    <format dxfId="20">
      <pivotArea type="all" dataOnly="0" outline="0" fieldPosition="0"/>
    </format>
    <format dxfId="19">
      <pivotArea outline="0" collapsedLevelsAreSubtotals="1" fieldPosition="0"/>
    </format>
    <format dxfId="18">
      <pivotArea field="14" type="button" dataOnly="0" labelOnly="1" outline="0" axis="axisRow" fieldPosition="0"/>
    </format>
    <format dxfId="17">
      <pivotArea dataOnly="0" labelOnly="1" fieldPosition="0">
        <references count="1">
          <reference field="14" count="12">
            <x v="1"/>
            <x v="2"/>
            <x v="3"/>
            <x v="4"/>
            <x v="5"/>
            <x v="6"/>
            <x v="7"/>
            <x v="8"/>
            <x v="9"/>
            <x v="10"/>
            <x v="11"/>
            <x v="12"/>
          </reference>
        </references>
      </pivotArea>
    </format>
    <format dxfId="16">
      <pivotArea dataOnly="0" labelOnly="1" grandRow="1" outline="0" fieldPosition="0"/>
    </format>
    <format dxfId="1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7FBDD78-D095-48F0-BF97-457C6A4315F4}"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I3:K16" firstHeaderRow="0" firstDataRow="1" firstDataCol="1"/>
  <pivotFields count="17">
    <pivotField showAll="0"/>
    <pivotField showAll="0"/>
    <pivotField showAll="0"/>
    <pivotField numFmtId="14" showAll="0">
      <items count="343">
        <item x="55"/>
        <item x="277"/>
        <item x="149"/>
        <item x="122"/>
        <item x="5"/>
        <item x="314"/>
        <item x="142"/>
        <item x="155"/>
        <item x="112"/>
        <item x="19"/>
        <item x="6"/>
        <item x="181"/>
        <item x="73"/>
        <item x="44"/>
        <item x="214"/>
        <item x="153"/>
        <item x="48"/>
        <item x="262"/>
        <item x="7"/>
        <item x="83"/>
        <item x="340"/>
        <item x="324"/>
        <item x="3"/>
        <item x="199"/>
        <item x="30"/>
        <item x="250"/>
        <item x="110"/>
        <item x="244"/>
        <item x="238"/>
        <item x="198"/>
        <item x="133"/>
        <item x="37"/>
        <item x="236"/>
        <item x="229"/>
        <item x="219"/>
        <item x="131"/>
        <item x="192"/>
        <item x="235"/>
        <item x="13"/>
        <item x="177"/>
        <item x="326"/>
        <item x="246"/>
        <item x="57"/>
        <item x="220"/>
        <item x="129"/>
        <item x="206"/>
        <item x="176"/>
        <item x="106"/>
        <item x="315"/>
        <item x="233"/>
        <item x="152"/>
        <item x="91"/>
        <item x="113"/>
        <item x="82"/>
        <item x="132"/>
        <item x="302"/>
        <item x="41"/>
        <item x="175"/>
        <item x="32"/>
        <item x="103"/>
        <item x="321"/>
        <item x="210"/>
        <item x="66"/>
        <item x="151"/>
        <item x="232"/>
        <item x="135"/>
        <item x="143"/>
        <item x="252"/>
        <item x="310"/>
        <item x="242"/>
        <item x="156"/>
        <item x="301"/>
        <item x="109"/>
        <item x="226"/>
        <item x="207"/>
        <item x="167"/>
        <item x="63"/>
        <item x="209"/>
        <item x="338"/>
        <item x="123"/>
        <item x="287"/>
        <item x="159"/>
        <item x="88"/>
        <item x="157"/>
        <item x="124"/>
        <item x="59"/>
        <item x="154"/>
        <item x="196"/>
        <item x="272"/>
        <item x="234"/>
        <item x="331"/>
        <item x="51"/>
        <item x="172"/>
        <item x="289"/>
        <item x="125"/>
        <item x="184"/>
        <item x="237"/>
        <item x="240"/>
        <item x="284"/>
        <item x="77"/>
        <item x="144"/>
        <item x="79"/>
        <item x="260"/>
        <item x="180"/>
        <item x="126"/>
        <item x="71"/>
        <item x="35"/>
        <item x="291"/>
        <item x="87"/>
        <item x="212"/>
        <item x="118"/>
        <item x="45"/>
        <item x="195"/>
        <item x="92"/>
        <item x="99"/>
        <item x="194"/>
        <item x="304"/>
        <item x="274"/>
        <item x="121"/>
        <item x="300"/>
        <item x="328"/>
        <item x="179"/>
        <item x="323"/>
        <item x="296"/>
        <item x="65"/>
        <item x="28"/>
        <item x="249"/>
        <item x="105"/>
        <item x="107"/>
        <item x="101"/>
        <item x="312"/>
        <item x="108"/>
        <item x="215"/>
        <item x="211"/>
        <item x="168"/>
        <item x="271"/>
        <item x="96"/>
        <item x="224"/>
        <item x="228"/>
        <item x="283"/>
        <item x="341"/>
        <item x="303"/>
        <item x="203"/>
        <item x="166"/>
        <item x="69"/>
        <item x="127"/>
        <item x="1"/>
        <item x="225"/>
        <item x="332"/>
        <item x="70"/>
        <item x="52"/>
        <item x="174"/>
        <item x="2"/>
        <item x="14"/>
        <item x="273"/>
        <item x="136"/>
        <item x="327"/>
        <item x="128"/>
        <item x="339"/>
        <item x="290"/>
        <item x="50"/>
        <item x="111"/>
        <item x="293"/>
        <item x="85"/>
        <item x="89"/>
        <item x="282"/>
        <item x="164"/>
        <item x="84"/>
        <item x="18"/>
        <item x="208"/>
        <item x="190"/>
        <item x="305"/>
        <item x="256"/>
        <item x="56"/>
        <item x="227"/>
        <item x="201"/>
        <item x="205"/>
        <item x="318"/>
        <item x="313"/>
        <item x="222"/>
        <item x="75"/>
        <item x="322"/>
        <item x="255"/>
        <item x="317"/>
        <item x="53"/>
        <item x="248"/>
        <item x="80"/>
        <item x="259"/>
        <item x="295"/>
        <item x="288"/>
        <item x="278"/>
        <item x="223"/>
        <item x="43"/>
        <item x="292"/>
        <item x="22"/>
        <item x="94"/>
        <item x="187"/>
        <item x="276"/>
        <item x="40"/>
        <item x="325"/>
        <item x="269"/>
        <item x="25"/>
        <item x="279"/>
        <item x="158"/>
        <item x="307"/>
        <item x="333"/>
        <item x="202"/>
        <item x="24"/>
        <item x="230"/>
        <item x="4"/>
        <item x="93"/>
        <item x="114"/>
        <item x="67"/>
        <item x="26"/>
        <item x="145"/>
        <item x="39"/>
        <item x="253"/>
        <item x="245"/>
        <item x="54"/>
        <item x="76"/>
        <item x="150"/>
        <item x="119"/>
        <item x="294"/>
        <item x="267"/>
        <item x="265"/>
        <item x="281"/>
        <item x="297"/>
        <item x="38"/>
        <item x="98"/>
        <item x="221"/>
        <item x="162"/>
        <item x="15"/>
        <item x="62"/>
        <item x="20"/>
        <item x="185"/>
        <item x="264"/>
        <item x="251"/>
        <item x="275"/>
        <item x="170"/>
        <item x="148"/>
        <item x="306"/>
        <item x="100"/>
        <item x="311"/>
        <item x="86"/>
        <item x="216"/>
        <item x="42"/>
        <item x="334"/>
        <item x="165"/>
        <item x="72"/>
        <item x="130"/>
        <item x="23"/>
        <item x="261"/>
        <item x="58"/>
        <item x="336"/>
        <item x="299"/>
        <item x="280"/>
        <item x="49"/>
        <item x="163"/>
        <item x="141"/>
        <item x="213"/>
        <item x="16"/>
        <item x="74"/>
        <item x="115"/>
        <item x="189"/>
        <item x="329"/>
        <item x="217"/>
        <item x="298"/>
        <item x="138"/>
        <item x="95"/>
        <item x="31"/>
        <item x="146"/>
        <item x="197"/>
        <item x="319"/>
        <item x="102"/>
        <item x="10"/>
        <item x="308"/>
        <item x="286"/>
        <item x="27"/>
        <item x="64"/>
        <item x="97"/>
        <item x="320"/>
        <item x="21"/>
        <item x="247"/>
        <item x="239"/>
        <item x="268"/>
        <item x="193"/>
        <item x="68"/>
        <item x="9"/>
        <item x="29"/>
        <item x="316"/>
        <item x="270"/>
        <item x="90"/>
        <item x="183"/>
        <item x="188"/>
        <item x="46"/>
        <item x="116"/>
        <item x="182"/>
        <item x="335"/>
        <item x="78"/>
        <item x="161"/>
        <item x="160"/>
        <item x="134"/>
        <item x="60"/>
        <item x="147"/>
        <item x="178"/>
        <item x="8"/>
        <item x="0"/>
        <item x="258"/>
        <item x="120"/>
        <item x="47"/>
        <item x="34"/>
        <item x="241"/>
        <item x="11"/>
        <item x="61"/>
        <item x="191"/>
        <item x="186"/>
        <item x="330"/>
        <item x="139"/>
        <item x="173"/>
        <item x="171"/>
        <item x="243"/>
        <item x="117"/>
        <item x="337"/>
        <item x="140"/>
        <item x="104"/>
        <item x="200"/>
        <item x="257"/>
        <item x="285"/>
        <item x="204"/>
        <item x="36"/>
        <item x="169"/>
        <item x="12"/>
        <item x="266"/>
        <item x="231"/>
        <item x="81"/>
        <item x="309"/>
        <item x="137"/>
        <item x="254"/>
        <item x="33"/>
        <item x="263"/>
        <item x="17"/>
        <item x="218"/>
        <item t="default"/>
      </items>
    </pivotField>
    <pivotField showAll="0"/>
    <pivotField dataField="1" showAll="0">
      <items count="5">
        <item x="2"/>
        <item x="3"/>
        <item x="1"/>
        <item x="0"/>
        <item t="default"/>
      </items>
    </pivotField>
    <pivotField showAll="0">
      <items count="6">
        <item x="3"/>
        <item x="0"/>
        <item x="2"/>
        <item x="4"/>
        <item x="1"/>
        <item t="default"/>
      </items>
    </pivotField>
    <pivotField showAll="0">
      <items count="11">
        <item x="4"/>
        <item x="8"/>
        <item x="7"/>
        <item x="3"/>
        <item x="1"/>
        <item x="9"/>
        <item x="6"/>
        <item x="0"/>
        <item x="2"/>
        <item x="5"/>
        <item t="default"/>
      </items>
    </pivotField>
    <pivotField showAll="0">
      <items count="5">
        <item x="1"/>
        <item x="3"/>
        <item x="0"/>
        <item x="2"/>
        <item t="default"/>
      </items>
    </pivotField>
    <pivotField showAll="0"/>
    <pivotField dataField="1" showAll="0"/>
    <pivotField showAll="0"/>
    <pivotField showAll="0"/>
    <pivotField showAll="0"/>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s>
  <rowFields count="1">
    <field x="14"/>
  </rowFields>
  <rowItems count="13">
    <i>
      <x v="1"/>
    </i>
    <i>
      <x v="2"/>
    </i>
    <i>
      <x v="3"/>
    </i>
    <i>
      <x v="4"/>
    </i>
    <i>
      <x v="5"/>
    </i>
    <i>
      <x v="6"/>
    </i>
    <i>
      <x v="7"/>
    </i>
    <i>
      <x v="8"/>
    </i>
    <i>
      <x v="9"/>
    </i>
    <i>
      <x v="10"/>
    </i>
    <i>
      <x v="11"/>
    </i>
    <i>
      <x v="12"/>
    </i>
    <i t="grand">
      <x/>
    </i>
  </rowItems>
  <colFields count="1">
    <field x="-2"/>
  </colFields>
  <colItems count="2">
    <i>
      <x/>
    </i>
    <i i="1">
      <x v="1"/>
    </i>
  </colItems>
  <dataFields count="2">
    <dataField name="Sum of IsFraud" fld="10" baseField="0" baseItem="0"/>
    <dataField name="Count of Fraud Risk" fld="5" subtotal="count" baseField="0" baseItem="0"/>
  </dataFields>
  <formats count="5">
    <format dxfId="25">
      <pivotArea type="all" dataOnly="0" outline="0" fieldPosition="0"/>
    </format>
    <format dxfId="24">
      <pivotArea outline="0" collapsedLevelsAreSubtotals="1" fieldPosition="0"/>
    </format>
    <format dxfId="23">
      <pivotArea field="14" type="button" dataOnly="0" labelOnly="1" outline="0" axis="axisRow" fieldPosition="0"/>
    </format>
    <format dxfId="22">
      <pivotArea dataOnly="0" labelOnly="1" grandRow="1" outline="0" fieldPosition="0"/>
    </format>
    <format dxfId="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2453394-ECF4-4D0C-8590-BE2B06D1AC1E}"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D3:E16" firstHeaderRow="1" firstDataRow="1" firstDataCol="1"/>
  <pivotFields count="17">
    <pivotField showAll="0"/>
    <pivotField showAll="0"/>
    <pivotField showAll="0"/>
    <pivotField numFmtId="14" showAll="0">
      <items count="343">
        <item x="55"/>
        <item x="277"/>
        <item x="149"/>
        <item x="122"/>
        <item x="5"/>
        <item x="314"/>
        <item x="142"/>
        <item x="155"/>
        <item x="112"/>
        <item x="19"/>
        <item x="6"/>
        <item x="181"/>
        <item x="73"/>
        <item x="44"/>
        <item x="214"/>
        <item x="153"/>
        <item x="48"/>
        <item x="262"/>
        <item x="7"/>
        <item x="83"/>
        <item x="340"/>
        <item x="324"/>
        <item x="3"/>
        <item x="199"/>
        <item x="30"/>
        <item x="250"/>
        <item x="110"/>
        <item x="244"/>
        <item x="238"/>
        <item x="198"/>
        <item x="133"/>
        <item x="37"/>
        <item x="236"/>
        <item x="229"/>
        <item x="219"/>
        <item x="131"/>
        <item x="192"/>
        <item x="235"/>
        <item x="13"/>
        <item x="177"/>
        <item x="326"/>
        <item x="246"/>
        <item x="57"/>
        <item x="220"/>
        <item x="129"/>
        <item x="206"/>
        <item x="176"/>
        <item x="106"/>
        <item x="315"/>
        <item x="233"/>
        <item x="152"/>
        <item x="91"/>
        <item x="113"/>
        <item x="82"/>
        <item x="132"/>
        <item x="302"/>
        <item x="41"/>
        <item x="175"/>
        <item x="32"/>
        <item x="103"/>
        <item x="321"/>
        <item x="210"/>
        <item x="66"/>
        <item x="151"/>
        <item x="232"/>
        <item x="135"/>
        <item x="143"/>
        <item x="252"/>
        <item x="310"/>
        <item x="242"/>
        <item x="156"/>
        <item x="301"/>
        <item x="109"/>
        <item x="226"/>
        <item x="207"/>
        <item x="167"/>
        <item x="63"/>
        <item x="209"/>
        <item x="338"/>
        <item x="123"/>
        <item x="287"/>
        <item x="159"/>
        <item x="88"/>
        <item x="157"/>
        <item x="124"/>
        <item x="59"/>
        <item x="154"/>
        <item x="196"/>
        <item x="272"/>
        <item x="234"/>
        <item x="331"/>
        <item x="51"/>
        <item x="172"/>
        <item x="289"/>
        <item x="125"/>
        <item x="184"/>
        <item x="237"/>
        <item x="240"/>
        <item x="284"/>
        <item x="77"/>
        <item x="144"/>
        <item x="79"/>
        <item x="260"/>
        <item x="180"/>
        <item x="126"/>
        <item x="71"/>
        <item x="35"/>
        <item x="291"/>
        <item x="87"/>
        <item x="212"/>
        <item x="118"/>
        <item x="45"/>
        <item x="195"/>
        <item x="92"/>
        <item x="99"/>
        <item x="194"/>
        <item x="304"/>
        <item x="274"/>
        <item x="121"/>
        <item x="300"/>
        <item x="328"/>
        <item x="179"/>
        <item x="323"/>
        <item x="296"/>
        <item x="65"/>
        <item x="28"/>
        <item x="249"/>
        <item x="105"/>
        <item x="107"/>
        <item x="101"/>
        <item x="312"/>
        <item x="108"/>
        <item x="215"/>
        <item x="211"/>
        <item x="168"/>
        <item x="271"/>
        <item x="96"/>
        <item x="224"/>
        <item x="228"/>
        <item x="283"/>
        <item x="341"/>
        <item x="303"/>
        <item x="203"/>
        <item x="166"/>
        <item x="69"/>
        <item x="127"/>
        <item x="1"/>
        <item x="225"/>
        <item x="332"/>
        <item x="70"/>
        <item x="52"/>
        <item x="174"/>
        <item x="2"/>
        <item x="14"/>
        <item x="273"/>
        <item x="136"/>
        <item x="327"/>
        <item x="128"/>
        <item x="339"/>
        <item x="290"/>
        <item x="50"/>
        <item x="111"/>
        <item x="293"/>
        <item x="85"/>
        <item x="89"/>
        <item x="282"/>
        <item x="164"/>
        <item x="84"/>
        <item x="18"/>
        <item x="208"/>
        <item x="190"/>
        <item x="305"/>
        <item x="256"/>
        <item x="56"/>
        <item x="227"/>
        <item x="201"/>
        <item x="205"/>
        <item x="318"/>
        <item x="313"/>
        <item x="222"/>
        <item x="75"/>
        <item x="322"/>
        <item x="255"/>
        <item x="317"/>
        <item x="53"/>
        <item x="248"/>
        <item x="80"/>
        <item x="259"/>
        <item x="295"/>
        <item x="288"/>
        <item x="278"/>
        <item x="223"/>
        <item x="43"/>
        <item x="292"/>
        <item x="22"/>
        <item x="94"/>
        <item x="187"/>
        <item x="276"/>
        <item x="40"/>
        <item x="325"/>
        <item x="269"/>
        <item x="25"/>
        <item x="279"/>
        <item x="158"/>
        <item x="307"/>
        <item x="333"/>
        <item x="202"/>
        <item x="24"/>
        <item x="230"/>
        <item x="4"/>
        <item x="93"/>
        <item x="114"/>
        <item x="67"/>
        <item x="26"/>
        <item x="145"/>
        <item x="39"/>
        <item x="253"/>
        <item x="245"/>
        <item x="54"/>
        <item x="76"/>
        <item x="150"/>
        <item x="119"/>
        <item x="294"/>
        <item x="267"/>
        <item x="265"/>
        <item x="281"/>
        <item x="297"/>
        <item x="38"/>
        <item x="98"/>
        <item x="221"/>
        <item x="162"/>
        <item x="15"/>
        <item x="62"/>
        <item x="20"/>
        <item x="185"/>
        <item x="264"/>
        <item x="251"/>
        <item x="275"/>
        <item x="170"/>
        <item x="148"/>
        <item x="306"/>
        <item x="100"/>
        <item x="311"/>
        <item x="86"/>
        <item x="216"/>
        <item x="42"/>
        <item x="334"/>
        <item x="165"/>
        <item x="72"/>
        <item x="130"/>
        <item x="23"/>
        <item x="261"/>
        <item x="58"/>
        <item x="336"/>
        <item x="299"/>
        <item x="280"/>
        <item x="49"/>
        <item x="163"/>
        <item x="141"/>
        <item x="213"/>
        <item x="16"/>
        <item x="74"/>
        <item x="115"/>
        <item x="189"/>
        <item x="329"/>
        <item x="217"/>
        <item x="298"/>
        <item x="138"/>
        <item x="95"/>
        <item x="31"/>
        <item x="146"/>
        <item x="197"/>
        <item x="319"/>
        <item x="102"/>
        <item x="10"/>
        <item x="308"/>
        <item x="286"/>
        <item x="27"/>
        <item x="64"/>
        <item x="97"/>
        <item x="320"/>
        <item x="21"/>
        <item x="247"/>
        <item x="239"/>
        <item x="268"/>
        <item x="193"/>
        <item x="68"/>
        <item x="9"/>
        <item x="29"/>
        <item x="316"/>
        <item x="270"/>
        <item x="90"/>
        <item x="183"/>
        <item x="188"/>
        <item x="46"/>
        <item x="116"/>
        <item x="182"/>
        <item x="335"/>
        <item x="78"/>
        <item x="161"/>
        <item x="160"/>
        <item x="134"/>
        <item x="60"/>
        <item x="147"/>
        <item x="178"/>
        <item x="8"/>
        <item x="0"/>
        <item x="258"/>
        <item x="120"/>
        <item x="47"/>
        <item x="34"/>
        <item x="241"/>
        <item x="11"/>
        <item x="61"/>
        <item x="191"/>
        <item x="186"/>
        <item x="330"/>
        <item x="139"/>
        <item x="173"/>
        <item x="171"/>
        <item x="243"/>
        <item x="117"/>
        <item x="337"/>
        <item x="140"/>
        <item x="104"/>
        <item x="200"/>
        <item x="257"/>
        <item x="285"/>
        <item x="204"/>
        <item x="36"/>
        <item x="169"/>
        <item x="12"/>
        <item x="266"/>
        <item x="231"/>
        <item x="81"/>
        <item x="309"/>
        <item x="137"/>
        <item x="254"/>
        <item x="33"/>
        <item x="263"/>
        <item x="17"/>
        <item x="218"/>
        <item t="default"/>
      </items>
    </pivotField>
    <pivotField showAll="0"/>
    <pivotField showAll="0">
      <items count="5">
        <item x="2"/>
        <item x="3"/>
        <item x="1"/>
        <item x="0"/>
        <item t="default"/>
      </items>
    </pivotField>
    <pivotField showAll="0">
      <items count="6">
        <item x="3"/>
        <item x="0"/>
        <item x="2"/>
        <item x="4"/>
        <item x="1"/>
        <item t="default"/>
      </items>
    </pivotField>
    <pivotField showAll="0">
      <items count="11">
        <item x="4"/>
        <item x="8"/>
        <item x="7"/>
        <item x="3"/>
        <item x="1"/>
        <item x="9"/>
        <item x="6"/>
        <item x="0"/>
        <item x="2"/>
        <item x="5"/>
        <item t="default"/>
      </items>
    </pivotField>
    <pivotField showAll="0">
      <items count="5">
        <item x="1"/>
        <item x="3"/>
        <item x="0"/>
        <item x="2"/>
        <item t="default"/>
      </items>
    </pivotField>
    <pivotField showAll="0"/>
    <pivotField showAll="0"/>
    <pivotField dataField="1" showAll="0"/>
    <pivotField showAll="0"/>
    <pivotField showAll="0"/>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s>
  <rowFields count="1">
    <field x="14"/>
  </rowFields>
  <rowItems count="13">
    <i>
      <x v="1"/>
    </i>
    <i>
      <x v="2"/>
    </i>
    <i>
      <x v="3"/>
    </i>
    <i>
      <x v="4"/>
    </i>
    <i>
      <x v="5"/>
    </i>
    <i>
      <x v="6"/>
    </i>
    <i>
      <x v="7"/>
    </i>
    <i>
      <x v="8"/>
    </i>
    <i>
      <x v="9"/>
    </i>
    <i>
      <x v="10"/>
    </i>
    <i>
      <x v="11"/>
    </i>
    <i>
      <x v="12"/>
    </i>
    <i t="grand">
      <x/>
    </i>
  </rowItems>
  <colItems count="1">
    <i/>
  </colItems>
  <dataFields count="1">
    <dataField name="Sum of Fraud Score" fld="11" baseField="0" baseItem="0"/>
  </dataFields>
  <formats count="6">
    <format dxfId="31">
      <pivotArea type="all" dataOnly="0" outline="0" fieldPosition="0"/>
    </format>
    <format dxfId="30">
      <pivotArea outline="0" collapsedLevelsAreSubtotals="1" fieldPosition="0"/>
    </format>
    <format dxfId="29">
      <pivotArea field="14" type="button" dataOnly="0" labelOnly="1" outline="0" axis="axisRow" fieldPosition="0"/>
    </format>
    <format dxfId="28">
      <pivotArea dataOnly="0" labelOnly="1" fieldPosition="0">
        <references count="1">
          <reference field="14" count="12">
            <x v="1"/>
            <x v="2"/>
            <x v="3"/>
            <x v="4"/>
            <x v="5"/>
            <x v="6"/>
            <x v="7"/>
            <x v="8"/>
            <x v="9"/>
            <x v="10"/>
            <x v="11"/>
            <x v="12"/>
          </reference>
        </references>
      </pivotArea>
    </format>
    <format dxfId="27">
      <pivotArea dataOnly="0" labelOnly="1" grandRow="1" outline="0" fieldPosition="0"/>
    </format>
    <format dxfId="2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728CA7C-3682-4368-91CC-0A744BBF3F2E}"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B16" firstHeaderRow="1" firstDataRow="1" firstDataCol="1"/>
  <pivotFields count="17">
    <pivotField showAll="0"/>
    <pivotField showAll="0"/>
    <pivotField showAll="0"/>
    <pivotField numFmtId="14" showAll="0">
      <items count="343">
        <item x="55"/>
        <item x="277"/>
        <item x="149"/>
        <item x="122"/>
        <item x="5"/>
        <item x="314"/>
        <item x="142"/>
        <item x="155"/>
        <item x="112"/>
        <item x="19"/>
        <item x="6"/>
        <item x="181"/>
        <item x="73"/>
        <item x="44"/>
        <item x="214"/>
        <item x="153"/>
        <item x="48"/>
        <item x="262"/>
        <item x="7"/>
        <item x="83"/>
        <item x="340"/>
        <item x="324"/>
        <item x="3"/>
        <item x="199"/>
        <item x="30"/>
        <item x="250"/>
        <item x="110"/>
        <item x="244"/>
        <item x="238"/>
        <item x="198"/>
        <item x="133"/>
        <item x="37"/>
        <item x="236"/>
        <item x="229"/>
        <item x="219"/>
        <item x="131"/>
        <item x="192"/>
        <item x="235"/>
        <item x="13"/>
        <item x="177"/>
        <item x="326"/>
        <item x="246"/>
        <item x="57"/>
        <item x="220"/>
        <item x="129"/>
        <item x="206"/>
        <item x="176"/>
        <item x="106"/>
        <item x="315"/>
        <item x="233"/>
        <item x="152"/>
        <item x="91"/>
        <item x="113"/>
        <item x="82"/>
        <item x="132"/>
        <item x="302"/>
        <item x="41"/>
        <item x="175"/>
        <item x="32"/>
        <item x="103"/>
        <item x="321"/>
        <item x="210"/>
        <item x="66"/>
        <item x="151"/>
        <item x="232"/>
        <item x="135"/>
        <item x="143"/>
        <item x="252"/>
        <item x="310"/>
        <item x="242"/>
        <item x="156"/>
        <item x="301"/>
        <item x="109"/>
        <item x="226"/>
        <item x="207"/>
        <item x="167"/>
        <item x="63"/>
        <item x="209"/>
        <item x="338"/>
        <item x="123"/>
        <item x="287"/>
        <item x="159"/>
        <item x="88"/>
        <item x="157"/>
        <item x="124"/>
        <item x="59"/>
        <item x="154"/>
        <item x="196"/>
        <item x="272"/>
        <item x="234"/>
        <item x="331"/>
        <item x="51"/>
        <item x="172"/>
        <item x="289"/>
        <item x="125"/>
        <item x="184"/>
        <item x="237"/>
        <item x="240"/>
        <item x="284"/>
        <item x="77"/>
        <item x="144"/>
        <item x="79"/>
        <item x="260"/>
        <item x="180"/>
        <item x="126"/>
        <item x="71"/>
        <item x="35"/>
        <item x="291"/>
        <item x="87"/>
        <item x="212"/>
        <item x="118"/>
        <item x="45"/>
        <item x="195"/>
        <item x="92"/>
        <item x="99"/>
        <item x="194"/>
        <item x="304"/>
        <item x="274"/>
        <item x="121"/>
        <item x="300"/>
        <item x="328"/>
        <item x="179"/>
        <item x="323"/>
        <item x="296"/>
        <item x="65"/>
        <item x="28"/>
        <item x="249"/>
        <item x="105"/>
        <item x="107"/>
        <item x="101"/>
        <item x="312"/>
        <item x="108"/>
        <item x="215"/>
        <item x="211"/>
        <item x="168"/>
        <item x="271"/>
        <item x="96"/>
        <item x="224"/>
        <item x="228"/>
        <item x="283"/>
        <item x="341"/>
        <item x="303"/>
        <item x="203"/>
        <item x="166"/>
        <item x="69"/>
        <item x="127"/>
        <item x="1"/>
        <item x="225"/>
        <item x="332"/>
        <item x="70"/>
        <item x="52"/>
        <item x="174"/>
        <item x="2"/>
        <item x="14"/>
        <item x="273"/>
        <item x="136"/>
        <item x="327"/>
        <item x="128"/>
        <item x="339"/>
        <item x="290"/>
        <item x="50"/>
        <item x="111"/>
        <item x="293"/>
        <item x="85"/>
        <item x="89"/>
        <item x="282"/>
        <item x="164"/>
        <item x="84"/>
        <item x="18"/>
        <item x="208"/>
        <item x="190"/>
        <item x="305"/>
        <item x="256"/>
        <item x="56"/>
        <item x="227"/>
        <item x="201"/>
        <item x="205"/>
        <item x="318"/>
        <item x="313"/>
        <item x="222"/>
        <item x="75"/>
        <item x="322"/>
        <item x="255"/>
        <item x="317"/>
        <item x="53"/>
        <item x="248"/>
        <item x="80"/>
        <item x="259"/>
        <item x="295"/>
        <item x="288"/>
        <item x="278"/>
        <item x="223"/>
        <item x="43"/>
        <item x="292"/>
        <item x="22"/>
        <item x="94"/>
        <item x="187"/>
        <item x="276"/>
        <item x="40"/>
        <item x="325"/>
        <item x="269"/>
        <item x="25"/>
        <item x="279"/>
        <item x="158"/>
        <item x="307"/>
        <item x="333"/>
        <item x="202"/>
        <item x="24"/>
        <item x="230"/>
        <item x="4"/>
        <item x="93"/>
        <item x="114"/>
        <item x="67"/>
        <item x="26"/>
        <item x="145"/>
        <item x="39"/>
        <item x="253"/>
        <item x="245"/>
        <item x="54"/>
        <item x="76"/>
        <item x="150"/>
        <item x="119"/>
        <item x="294"/>
        <item x="267"/>
        <item x="265"/>
        <item x="281"/>
        <item x="297"/>
        <item x="38"/>
        <item x="98"/>
        <item x="221"/>
        <item x="162"/>
        <item x="15"/>
        <item x="62"/>
        <item x="20"/>
        <item x="185"/>
        <item x="264"/>
        <item x="251"/>
        <item x="275"/>
        <item x="170"/>
        <item x="148"/>
        <item x="306"/>
        <item x="100"/>
        <item x="311"/>
        <item x="86"/>
        <item x="216"/>
        <item x="42"/>
        <item x="334"/>
        <item x="165"/>
        <item x="72"/>
        <item x="130"/>
        <item x="23"/>
        <item x="261"/>
        <item x="58"/>
        <item x="336"/>
        <item x="299"/>
        <item x="280"/>
        <item x="49"/>
        <item x="163"/>
        <item x="141"/>
        <item x="213"/>
        <item x="16"/>
        <item x="74"/>
        <item x="115"/>
        <item x="189"/>
        <item x="329"/>
        <item x="217"/>
        <item x="298"/>
        <item x="138"/>
        <item x="95"/>
        <item x="31"/>
        <item x="146"/>
        <item x="197"/>
        <item x="319"/>
        <item x="102"/>
        <item x="10"/>
        <item x="308"/>
        <item x="286"/>
        <item x="27"/>
        <item x="64"/>
        <item x="97"/>
        <item x="320"/>
        <item x="21"/>
        <item x="247"/>
        <item x="239"/>
        <item x="268"/>
        <item x="193"/>
        <item x="68"/>
        <item x="9"/>
        <item x="29"/>
        <item x="316"/>
        <item x="270"/>
        <item x="90"/>
        <item x="183"/>
        <item x="188"/>
        <item x="46"/>
        <item x="116"/>
        <item x="182"/>
        <item x="335"/>
        <item x="78"/>
        <item x="161"/>
        <item x="160"/>
        <item x="134"/>
        <item x="60"/>
        <item x="147"/>
        <item x="178"/>
        <item x="8"/>
        <item x="0"/>
        <item x="258"/>
        <item x="120"/>
        <item x="47"/>
        <item x="34"/>
        <item x="241"/>
        <item x="11"/>
        <item x="61"/>
        <item x="191"/>
        <item x="186"/>
        <item x="330"/>
        <item x="139"/>
        <item x="173"/>
        <item x="171"/>
        <item x="243"/>
        <item x="117"/>
        <item x="337"/>
        <item x="140"/>
        <item x="104"/>
        <item x="200"/>
        <item x="257"/>
        <item x="285"/>
        <item x="204"/>
        <item x="36"/>
        <item x="169"/>
        <item x="12"/>
        <item x="266"/>
        <item x="231"/>
        <item x="81"/>
        <item x="309"/>
        <item x="137"/>
        <item x="254"/>
        <item x="33"/>
        <item x="263"/>
        <item x="17"/>
        <item x="218"/>
        <item t="default"/>
      </items>
    </pivotField>
    <pivotField dataField="1" showAll="0"/>
    <pivotField showAll="0"/>
    <pivotField showAll="0">
      <items count="6">
        <item x="3"/>
        <item x="0"/>
        <item x="2"/>
        <item x="4"/>
        <item x="1"/>
        <item t="default"/>
      </items>
    </pivotField>
    <pivotField showAll="0">
      <items count="11">
        <item x="4"/>
        <item x="8"/>
        <item x="7"/>
        <item x="3"/>
        <item x="1"/>
        <item x="9"/>
        <item x="6"/>
        <item x="0"/>
        <item x="2"/>
        <item x="5"/>
        <item t="default"/>
      </items>
    </pivotField>
    <pivotField showAll="0">
      <items count="5">
        <item x="1"/>
        <item x="3"/>
        <item x="0"/>
        <item x="2"/>
        <item t="default"/>
      </items>
    </pivotField>
    <pivotField showAll="0"/>
    <pivotField showAll="0"/>
    <pivotField showAll="0"/>
    <pivotField showAll="0"/>
    <pivotField showAll="0"/>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s>
  <rowFields count="1">
    <field x="14"/>
  </rowFields>
  <rowItems count="13">
    <i>
      <x v="1"/>
    </i>
    <i>
      <x v="2"/>
    </i>
    <i>
      <x v="3"/>
    </i>
    <i>
      <x v="4"/>
    </i>
    <i>
      <x v="5"/>
    </i>
    <i>
      <x v="6"/>
    </i>
    <i>
      <x v="7"/>
    </i>
    <i>
      <x v="8"/>
    </i>
    <i>
      <x v="9"/>
    </i>
    <i>
      <x v="10"/>
    </i>
    <i>
      <x v="11"/>
    </i>
    <i>
      <x v="12"/>
    </i>
    <i t="grand">
      <x/>
    </i>
  </rowItems>
  <colItems count="1">
    <i/>
  </colItems>
  <dataFields count="1">
    <dataField name="Sum of Transaction Amount (INR)" fld="4" baseField="0" baseItem="0" numFmtId="168"/>
  </dataFields>
  <formats count="7">
    <format dxfId="38">
      <pivotArea type="all" dataOnly="0" outline="0" fieldPosition="0"/>
    </format>
    <format dxfId="37">
      <pivotArea outline="0" collapsedLevelsAreSubtotals="1" fieldPosition="0"/>
    </format>
    <format dxfId="36">
      <pivotArea field="14" type="button" dataOnly="0" labelOnly="1" outline="0" axis="axisRow" fieldPosition="0"/>
    </format>
    <format dxfId="35">
      <pivotArea dataOnly="0" labelOnly="1" fieldPosition="0">
        <references count="1">
          <reference field="14" count="12">
            <x v="1"/>
            <x v="2"/>
            <x v="3"/>
            <x v="4"/>
            <x v="5"/>
            <x v="6"/>
            <x v="7"/>
            <x v="8"/>
            <x v="9"/>
            <x v="10"/>
            <x v="11"/>
            <x v="12"/>
          </reference>
        </references>
      </pivotArea>
    </format>
    <format dxfId="34">
      <pivotArea dataOnly="0" labelOnly="1" grandRow="1" outline="0" fieldPosition="0"/>
    </format>
    <format dxfId="33">
      <pivotArea dataOnly="0" labelOnly="1" outline="0" axis="axisValues" fieldPosition="0"/>
    </format>
    <format dxfId="3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D72D5C8-A7FD-4428-9318-5294937C6AC1}"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V3:W8" firstHeaderRow="1" firstDataRow="1" firstDataCol="1"/>
  <pivotFields count="17">
    <pivotField showAll="0"/>
    <pivotField showAll="0"/>
    <pivotField showAll="0"/>
    <pivotField numFmtId="14" showAll="0">
      <items count="343">
        <item x="55"/>
        <item x="277"/>
        <item x="149"/>
        <item x="122"/>
        <item x="5"/>
        <item x="314"/>
        <item x="142"/>
        <item x="155"/>
        <item x="112"/>
        <item x="19"/>
        <item x="6"/>
        <item x="181"/>
        <item x="73"/>
        <item x="44"/>
        <item x="214"/>
        <item x="153"/>
        <item x="48"/>
        <item x="262"/>
        <item x="7"/>
        <item x="83"/>
        <item x="340"/>
        <item x="324"/>
        <item x="3"/>
        <item x="199"/>
        <item x="30"/>
        <item x="250"/>
        <item x="110"/>
        <item x="244"/>
        <item x="238"/>
        <item x="198"/>
        <item x="133"/>
        <item x="37"/>
        <item x="236"/>
        <item x="229"/>
        <item x="219"/>
        <item x="131"/>
        <item x="192"/>
        <item x="235"/>
        <item x="13"/>
        <item x="177"/>
        <item x="326"/>
        <item x="246"/>
        <item x="57"/>
        <item x="220"/>
        <item x="129"/>
        <item x="206"/>
        <item x="176"/>
        <item x="106"/>
        <item x="315"/>
        <item x="233"/>
        <item x="152"/>
        <item x="91"/>
        <item x="113"/>
        <item x="82"/>
        <item x="132"/>
        <item x="302"/>
        <item x="41"/>
        <item x="175"/>
        <item x="32"/>
        <item x="103"/>
        <item x="321"/>
        <item x="210"/>
        <item x="66"/>
        <item x="151"/>
        <item x="232"/>
        <item x="135"/>
        <item x="143"/>
        <item x="252"/>
        <item x="310"/>
        <item x="242"/>
        <item x="156"/>
        <item x="301"/>
        <item x="109"/>
        <item x="226"/>
        <item x="207"/>
        <item x="167"/>
        <item x="63"/>
        <item x="209"/>
        <item x="338"/>
        <item x="123"/>
        <item x="287"/>
        <item x="159"/>
        <item x="88"/>
        <item x="157"/>
        <item x="124"/>
        <item x="59"/>
        <item x="154"/>
        <item x="196"/>
        <item x="272"/>
        <item x="234"/>
        <item x="331"/>
        <item x="51"/>
        <item x="172"/>
        <item x="289"/>
        <item x="125"/>
        <item x="184"/>
        <item x="237"/>
        <item x="240"/>
        <item x="284"/>
        <item x="77"/>
        <item x="144"/>
        <item x="79"/>
        <item x="260"/>
        <item x="180"/>
        <item x="126"/>
        <item x="71"/>
        <item x="35"/>
        <item x="291"/>
        <item x="87"/>
        <item x="212"/>
        <item x="118"/>
        <item x="45"/>
        <item x="195"/>
        <item x="92"/>
        <item x="99"/>
        <item x="194"/>
        <item x="304"/>
        <item x="274"/>
        <item x="121"/>
        <item x="300"/>
        <item x="328"/>
        <item x="179"/>
        <item x="323"/>
        <item x="296"/>
        <item x="65"/>
        <item x="28"/>
        <item x="249"/>
        <item x="105"/>
        <item x="107"/>
        <item x="101"/>
        <item x="312"/>
        <item x="108"/>
        <item x="215"/>
        <item x="211"/>
        <item x="168"/>
        <item x="271"/>
        <item x="96"/>
        <item x="224"/>
        <item x="228"/>
        <item x="283"/>
        <item x="341"/>
        <item x="303"/>
        <item x="203"/>
        <item x="166"/>
        <item x="69"/>
        <item x="127"/>
        <item x="1"/>
        <item x="225"/>
        <item x="332"/>
        <item x="70"/>
        <item x="52"/>
        <item x="174"/>
        <item x="2"/>
        <item x="14"/>
        <item x="273"/>
        <item x="136"/>
        <item x="327"/>
        <item x="128"/>
        <item x="339"/>
        <item x="290"/>
        <item x="50"/>
        <item x="111"/>
        <item x="293"/>
        <item x="85"/>
        <item x="89"/>
        <item x="282"/>
        <item x="164"/>
        <item x="84"/>
        <item x="18"/>
        <item x="208"/>
        <item x="190"/>
        <item x="305"/>
        <item x="256"/>
        <item x="56"/>
        <item x="227"/>
        <item x="201"/>
        <item x="205"/>
        <item x="318"/>
        <item x="313"/>
        <item x="222"/>
        <item x="75"/>
        <item x="322"/>
        <item x="255"/>
        <item x="317"/>
        <item x="53"/>
        <item x="248"/>
        <item x="80"/>
        <item x="259"/>
        <item x="295"/>
        <item x="288"/>
        <item x="278"/>
        <item x="223"/>
        <item x="43"/>
        <item x="292"/>
        <item x="22"/>
        <item x="94"/>
        <item x="187"/>
        <item x="276"/>
        <item x="40"/>
        <item x="325"/>
        <item x="269"/>
        <item x="25"/>
        <item x="279"/>
        <item x="158"/>
        <item x="307"/>
        <item x="333"/>
        <item x="202"/>
        <item x="24"/>
        <item x="230"/>
        <item x="4"/>
        <item x="93"/>
        <item x="114"/>
        <item x="67"/>
        <item x="26"/>
        <item x="145"/>
        <item x="39"/>
        <item x="253"/>
        <item x="245"/>
        <item x="54"/>
        <item x="76"/>
        <item x="150"/>
        <item x="119"/>
        <item x="294"/>
        <item x="267"/>
        <item x="265"/>
        <item x="281"/>
        <item x="297"/>
        <item x="38"/>
        <item x="98"/>
        <item x="221"/>
        <item x="162"/>
        <item x="15"/>
        <item x="62"/>
        <item x="20"/>
        <item x="185"/>
        <item x="264"/>
        <item x="251"/>
        <item x="275"/>
        <item x="170"/>
        <item x="148"/>
        <item x="306"/>
        <item x="100"/>
        <item x="311"/>
        <item x="86"/>
        <item x="216"/>
        <item x="42"/>
        <item x="334"/>
        <item x="165"/>
        <item x="72"/>
        <item x="130"/>
        <item x="23"/>
        <item x="261"/>
        <item x="58"/>
        <item x="336"/>
        <item x="299"/>
        <item x="280"/>
        <item x="49"/>
        <item x="163"/>
        <item x="141"/>
        <item x="213"/>
        <item x="16"/>
        <item x="74"/>
        <item x="115"/>
        <item x="189"/>
        <item x="329"/>
        <item x="217"/>
        <item x="298"/>
        <item x="138"/>
        <item x="95"/>
        <item x="31"/>
        <item x="146"/>
        <item x="197"/>
        <item x="319"/>
        <item x="102"/>
        <item x="10"/>
        <item x="308"/>
        <item x="286"/>
        <item x="27"/>
        <item x="64"/>
        <item x="97"/>
        <item x="320"/>
        <item x="21"/>
        <item x="247"/>
        <item x="239"/>
        <item x="268"/>
        <item x="193"/>
        <item x="68"/>
        <item x="9"/>
        <item x="29"/>
        <item x="316"/>
        <item x="270"/>
        <item x="90"/>
        <item x="183"/>
        <item x="188"/>
        <item x="46"/>
        <item x="116"/>
        <item x="182"/>
        <item x="335"/>
        <item x="78"/>
        <item x="161"/>
        <item x="160"/>
        <item x="134"/>
        <item x="60"/>
        <item x="147"/>
        <item x="178"/>
        <item x="8"/>
        <item x="0"/>
        <item x="258"/>
        <item x="120"/>
        <item x="47"/>
        <item x="34"/>
        <item x="241"/>
        <item x="11"/>
        <item x="61"/>
        <item x="191"/>
        <item x="186"/>
        <item x="330"/>
        <item x="139"/>
        <item x="173"/>
        <item x="171"/>
        <item x="243"/>
        <item x="117"/>
        <item x="337"/>
        <item x="140"/>
        <item x="104"/>
        <item x="200"/>
        <item x="257"/>
        <item x="285"/>
        <item x="204"/>
        <item x="36"/>
        <item x="169"/>
        <item x="12"/>
        <item x="266"/>
        <item x="231"/>
        <item x="81"/>
        <item x="309"/>
        <item x="137"/>
        <item x="254"/>
        <item x="33"/>
        <item x="263"/>
        <item x="17"/>
        <item x="218"/>
        <item t="default"/>
      </items>
    </pivotField>
    <pivotField showAll="0"/>
    <pivotField axis="axisRow" showAll="0">
      <items count="5">
        <item x="2"/>
        <item x="3"/>
        <item x="1"/>
        <item x="0"/>
        <item t="default"/>
      </items>
    </pivotField>
    <pivotField dataField="1" showAll="0">
      <items count="6">
        <item x="3"/>
        <item x="0"/>
        <item x="2"/>
        <item x="4"/>
        <item x="1"/>
        <item t="default"/>
      </items>
    </pivotField>
    <pivotField showAll="0">
      <items count="11">
        <item x="4"/>
        <item x="8"/>
        <item x="7"/>
        <item x="3"/>
        <item x="1"/>
        <item x="9"/>
        <item x="6"/>
        <item x="0"/>
        <item x="2"/>
        <item x="5"/>
        <item t="default"/>
      </items>
    </pivotField>
    <pivotField showAll="0">
      <items count="5">
        <item x="1"/>
        <item x="3"/>
        <item x="0"/>
        <item x="2"/>
        <item t="default"/>
      </items>
    </pivotField>
    <pivotField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s>
  <rowFields count="1">
    <field x="5"/>
  </rowFields>
  <rowItems count="5">
    <i>
      <x/>
    </i>
    <i>
      <x v="1"/>
    </i>
    <i>
      <x v="2"/>
    </i>
    <i>
      <x v="3"/>
    </i>
    <i t="grand">
      <x/>
    </i>
  </rowItems>
  <colItems count="1">
    <i/>
  </colItems>
  <dataFields count="1">
    <dataField name="Count of Fraud Type" fld="6" subtotal="count" baseField="0" baseItem="0"/>
  </dataFields>
  <formats count="5">
    <format dxfId="43">
      <pivotArea type="all" dataOnly="0" outline="0" fieldPosition="0"/>
    </format>
    <format dxfId="42">
      <pivotArea outline="0" collapsedLevelsAreSubtotals="1" fieldPosition="0"/>
    </format>
    <format dxfId="41">
      <pivotArea field="14" type="button" dataOnly="0" labelOnly="1" outline="0"/>
    </format>
    <format dxfId="40">
      <pivotArea dataOnly="0" labelOnly="1" grandRow="1" outline="0" fieldPosition="0"/>
    </format>
    <format dxfId="3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4DB3999-9B3F-4A2A-9EFC-9037B713B89D}" name="PivotTable1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F16" firstHeaderRow="0" firstDataRow="1" firstDataCol="1"/>
  <pivotFields count="17">
    <pivotField dataField="1" showAll="0"/>
    <pivotField showAll="0"/>
    <pivotField showAll="0"/>
    <pivotField numFmtId="14" showAll="0">
      <items count="343">
        <item x="55"/>
        <item x="277"/>
        <item x="149"/>
        <item x="122"/>
        <item x="5"/>
        <item x="314"/>
        <item x="142"/>
        <item x="155"/>
        <item x="112"/>
        <item x="19"/>
        <item x="6"/>
        <item x="181"/>
        <item x="73"/>
        <item x="44"/>
        <item x="214"/>
        <item x="153"/>
        <item x="48"/>
        <item x="262"/>
        <item x="7"/>
        <item x="83"/>
        <item x="340"/>
        <item x="324"/>
        <item x="3"/>
        <item x="199"/>
        <item x="30"/>
        <item x="250"/>
        <item x="110"/>
        <item x="244"/>
        <item x="238"/>
        <item x="198"/>
        <item x="133"/>
        <item x="37"/>
        <item x="236"/>
        <item x="229"/>
        <item x="219"/>
        <item x="131"/>
        <item x="192"/>
        <item x="235"/>
        <item x="13"/>
        <item x="177"/>
        <item x="326"/>
        <item x="246"/>
        <item x="57"/>
        <item x="220"/>
        <item x="129"/>
        <item x="206"/>
        <item x="176"/>
        <item x="106"/>
        <item x="315"/>
        <item x="233"/>
        <item x="152"/>
        <item x="91"/>
        <item x="113"/>
        <item x="82"/>
        <item x="132"/>
        <item x="302"/>
        <item x="41"/>
        <item x="175"/>
        <item x="32"/>
        <item x="103"/>
        <item x="321"/>
        <item x="210"/>
        <item x="66"/>
        <item x="151"/>
        <item x="232"/>
        <item x="135"/>
        <item x="143"/>
        <item x="252"/>
        <item x="310"/>
        <item x="242"/>
        <item x="156"/>
        <item x="301"/>
        <item x="109"/>
        <item x="226"/>
        <item x="207"/>
        <item x="167"/>
        <item x="63"/>
        <item x="209"/>
        <item x="338"/>
        <item x="123"/>
        <item x="287"/>
        <item x="159"/>
        <item x="88"/>
        <item x="157"/>
        <item x="124"/>
        <item x="59"/>
        <item x="154"/>
        <item x="196"/>
        <item x="272"/>
        <item x="234"/>
        <item x="331"/>
        <item x="51"/>
        <item x="172"/>
        <item x="289"/>
        <item x="125"/>
        <item x="184"/>
        <item x="237"/>
        <item x="240"/>
        <item x="284"/>
        <item x="77"/>
        <item x="144"/>
        <item x="79"/>
        <item x="260"/>
        <item x="180"/>
        <item x="126"/>
        <item x="71"/>
        <item x="35"/>
        <item x="291"/>
        <item x="87"/>
        <item x="212"/>
        <item x="118"/>
        <item x="45"/>
        <item x="195"/>
        <item x="92"/>
        <item x="99"/>
        <item x="194"/>
        <item x="304"/>
        <item x="274"/>
        <item x="121"/>
        <item x="300"/>
        <item x="328"/>
        <item x="179"/>
        <item x="323"/>
        <item x="296"/>
        <item x="65"/>
        <item x="28"/>
        <item x="249"/>
        <item x="105"/>
        <item x="107"/>
        <item x="101"/>
        <item x="312"/>
        <item x="108"/>
        <item x="215"/>
        <item x="211"/>
        <item x="168"/>
        <item x="271"/>
        <item x="96"/>
        <item x="224"/>
        <item x="228"/>
        <item x="283"/>
        <item x="341"/>
        <item x="303"/>
        <item x="203"/>
        <item x="166"/>
        <item x="69"/>
        <item x="127"/>
        <item x="1"/>
        <item x="225"/>
        <item x="332"/>
        <item x="70"/>
        <item x="52"/>
        <item x="174"/>
        <item x="2"/>
        <item x="14"/>
        <item x="273"/>
        <item x="136"/>
        <item x="327"/>
        <item x="128"/>
        <item x="339"/>
        <item x="290"/>
        <item x="50"/>
        <item x="111"/>
        <item x="293"/>
        <item x="85"/>
        <item x="89"/>
        <item x="282"/>
        <item x="164"/>
        <item x="84"/>
        <item x="18"/>
        <item x="208"/>
        <item x="190"/>
        <item x="305"/>
        <item x="256"/>
        <item x="56"/>
        <item x="227"/>
        <item x="201"/>
        <item x="205"/>
        <item x="318"/>
        <item x="313"/>
        <item x="222"/>
        <item x="75"/>
        <item x="322"/>
        <item x="255"/>
        <item x="317"/>
        <item x="53"/>
        <item x="248"/>
        <item x="80"/>
        <item x="259"/>
        <item x="295"/>
        <item x="288"/>
        <item x="278"/>
        <item x="223"/>
        <item x="43"/>
        <item x="292"/>
        <item x="22"/>
        <item x="94"/>
        <item x="187"/>
        <item x="276"/>
        <item x="40"/>
        <item x="325"/>
        <item x="269"/>
        <item x="25"/>
        <item x="279"/>
        <item x="158"/>
        <item x="307"/>
        <item x="333"/>
        <item x="202"/>
        <item x="24"/>
        <item x="230"/>
        <item x="4"/>
        <item x="93"/>
        <item x="114"/>
        <item x="67"/>
        <item x="26"/>
        <item x="145"/>
        <item x="39"/>
        <item x="253"/>
        <item x="245"/>
        <item x="54"/>
        <item x="76"/>
        <item x="150"/>
        <item x="119"/>
        <item x="294"/>
        <item x="267"/>
        <item x="265"/>
        <item x="281"/>
        <item x="297"/>
        <item x="38"/>
        <item x="98"/>
        <item x="221"/>
        <item x="162"/>
        <item x="15"/>
        <item x="62"/>
        <item x="20"/>
        <item x="185"/>
        <item x="264"/>
        <item x="251"/>
        <item x="275"/>
        <item x="170"/>
        <item x="148"/>
        <item x="306"/>
        <item x="100"/>
        <item x="311"/>
        <item x="86"/>
        <item x="216"/>
        <item x="42"/>
        <item x="334"/>
        <item x="165"/>
        <item x="72"/>
        <item x="130"/>
        <item x="23"/>
        <item x="261"/>
        <item x="58"/>
        <item x="336"/>
        <item x="299"/>
        <item x="280"/>
        <item x="49"/>
        <item x="163"/>
        <item x="141"/>
        <item x="213"/>
        <item x="16"/>
        <item x="74"/>
        <item x="115"/>
        <item x="189"/>
        <item x="329"/>
        <item x="217"/>
        <item x="298"/>
        <item x="138"/>
        <item x="95"/>
        <item x="31"/>
        <item x="146"/>
        <item x="197"/>
        <item x="319"/>
        <item x="102"/>
        <item x="10"/>
        <item x="308"/>
        <item x="286"/>
        <item x="27"/>
        <item x="64"/>
        <item x="97"/>
        <item x="320"/>
        <item x="21"/>
        <item x="247"/>
        <item x="239"/>
        <item x="268"/>
        <item x="193"/>
        <item x="68"/>
        <item x="9"/>
        <item x="29"/>
        <item x="316"/>
        <item x="270"/>
        <item x="90"/>
        <item x="183"/>
        <item x="188"/>
        <item x="46"/>
        <item x="116"/>
        <item x="182"/>
        <item x="335"/>
        <item x="78"/>
        <item x="161"/>
        <item x="160"/>
        <item x="134"/>
        <item x="60"/>
        <item x="147"/>
        <item x="178"/>
        <item x="8"/>
        <item x="0"/>
        <item x="258"/>
        <item x="120"/>
        <item x="47"/>
        <item x="34"/>
        <item x="241"/>
        <item x="11"/>
        <item x="61"/>
        <item x="191"/>
        <item x="186"/>
        <item x="330"/>
        <item x="139"/>
        <item x="173"/>
        <item x="171"/>
        <item x="243"/>
        <item x="117"/>
        <item x="337"/>
        <item x="140"/>
        <item x="104"/>
        <item x="200"/>
        <item x="257"/>
        <item x="285"/>
        <item x="204"/>
        <item x="36"/>
        <item x="169"/>
        <item x="12"/>
        <item x="266"/>
        <item x="231"/>
        <item x="81"/>
        <item x="309"/>
        <item x="137"/>
        <item x="254"/>
        <item x="33"/>
        <item x="263"/>
        <item x="17"/>
        <item x="218"/>
        <item t="default"/>
      </items>
    </pivotField>
    <pivotField dataField="1" showAll="0"/>
    <pivotField dataField="1" showAll="0">
      <items count="5">
        <item x="2"/>
        <item x="3"/>
        <item x="1"/>
        <item x="0"/>
        <item t="default"/>
      </items>
    </pivotField>
    <pivotField showAll="0">
      <items count="6">
        <item x="3"/>
        <item x="0"/>
        <item x="2"/>
        <item x="4"/>
        <item x="1"/>
        <item t="default"/>
      </items>
    </pivotField>
    <pivotField showAll="0">
      <items count="11">
        <item x="4"/>
        <item x="8"/>
        <item x="7"/>
        <item x="3"/>
        <item x="1"/>
        <item x="9"/>
        <item x="6"/>
        <item x="0"/>
        <item x="2"/>
        <item x="5"/>
        <item t="default"/>
      </items>
    </pivotField>
    <pivotField showAll="0">
      <items count="5">
        <item x="1"/>
        <item x="3"/>
        <item x="0"/>
        <item x="2"/>
        <item t="default"/>
      </items>
    </pivotField>
    <pivotField showAll="0"/>
    <pivotField dataField="1" showAll="0"/>
    <pivotField dataField="1"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s>
  <rowFields count="1">
    <field x="14"/>
  </rowFields>
  <rowItems count="13">
    <i>
      <x v="1"/>
    </i>
    <i>
      <x v="2"/>
    </i>
    <i>
      <x v="3"/>
    </i>
    <i>
      <x v="4"/>
    </i>
    <i>
      <x v="5"/>
    </i>
    <i>
      <x v="6"/>
    </i>
    <i>
      <x v="7"/>
    </i>
    <i>
      <x v="8"/>
    </i>
    <i>
      <x v="9"/>
    </i>
    <i>
      <x v="10"/>
    </i>
    <i>
      <x v="11"/>
    </i>
    <i>
      <x v="12"/>
    </i>
    <i t="grand">
      <x/>
    </i>
  </rowItems>
  <colFields count="1">
    <field x="-2"/>
  </colFields>
  <colItems count="5">
    <i>
      <x/>
    </i>
    <i i="1">
      <x v="1"/>
    </i>
    <i i="2">
      <x v="2"/>
    </i>
    <i i="3">
      <x v="3"/>
    </i>
    <i i="4">
      <x v="4"/>
    </i>
  </colItems>
  <dataFields count="5">
    <dataField name="Sum of Transaction ID" fld="0" baseField="0" baseItem="0"/>
    <dataField name="Sum of Transaction Amount (INR)" fld="4" baseField="0" baseItem="0"/>
    <dataField name="Count of Fraud Risk" fld="5" subtotal="count" baseField="0" baseItem="0"/>
    <dataField name="Sum of IsFraud" fld="10" baseField="0" baseItem="0"/>
    <dataField name="Sum of Fraud Score"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D36EC3E-89DF-4DE1-92F1-1411A4C345A8}" autoFormatId="16" applyNumberFormats="0" applyBorderFormats="0" applyFontFormats="0" applyPatternFormats="0" applyAlignmentFormats="0" applyWidthHeightFormats="0">
  <queryTableRefresh nextId="15">
    <queryTableFields count="14">
      <queryTableField id="1" name="Transaction ID" tableColumnId="1"/>
      <queryTableField id="2" name="Customer Name" tableColumnId="2"/>
      <queryTableField id="3" name="Merchant Name" tableColumnId="3"/>
      <queryTableField id="4" name="Transaction Date" tableColumnId="4"/>
      <queryTableField id="5" name="Transaction Amount (INR)" tableColumnId="5"/>
      <queryTableField id="6" name="Fraud Risk" tableColumnId="6"/>
      <queryTableField id="7" name="Fraud Type" tableColumnId="7"/>
      <queryTableField id="8" name="State" tableColumnId="8"/>
      <queryTableField id="9" name="Card Type" tableColumnId="9"/>
      <queryTableField id="10" name="Bank" tableColumnId="10"/>
      <queryTableField id="11" name="IsFraud" tableColumnId="11"/>
      <queryTableField id="12" name="Fraud Score" tableColumnId="12"/>
      <queryTableField id="13" name="Transaction Category" tableColumnId="13"/>
      <queryTableField id="14" name="Merchant Location"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raud_Type" xr10:uid="{54F2FF5E-1BA0-4693-82D5-53662B643393}" sourceName="Fraud Type">
  <pivotTables>
    <pivotTable tabId="5" name="PivotTable2"/>
    <pivotTable tabId="6" name="PivotTable3"/>
    <pivotTable tabId="7" name="PivotTable4"/>
    <pivotTable tabId="8" name="PivotTable5"/>
    <pivotTable tabId="11" name="PivotTable10"/>
    <pivotTable tabId="11" name="PivotTable11"/>
    <pivotTable tabId="11" name="PivotTable12"/>
    <pivotTable tabId="11" name="PivotTable7"/>
    <pivotTable tabId="11" name="PivotTable8"/>
    <pivotTable tabId="11" name="PivotTable9"/>
    <pivotTable tabId="13" name="PivotTable18"/>
  </pivotTables>
  <data>
    <tabular pivotCacheId="77367802">
      <items count="5">
        <i x="3" s="1"/>
        <i x="0" s="1"/>
        <i x="2" s="1"/>
        <i x="4"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0E3A0C51-29E0-4B6B-9721-6FE2FFA9B10E}" sourceName="State">
  <pivotTables>
    <pivotTable tabId="5" name="PivotTable2"/>
    <pivotTable tabId="6" name="PivotTable3"/>
    <pivotTable tabId="7" name="PivotTable4"/>
    <pivotTable tabId="11" name="PivotTable10"/>
    <pivotTable tabId="11" name="PivotTable11"/>
    <pivotTable tabId="11" name="PivotTable12"/>
    <pivotTable tabId="11" name="PivotTable7"/>
    <pivotTable tabId="11" name="PivotTable8"/>
    <pivotTable tabId="11" name="PivotTable9"/>
    <pivotTable tabId="13" name="PivotTable18"/>
    <pivotTable tabId="8" name="PivotTable5"/>
  </pivotTables>
  <data>
    <tabular pivotCacheId="77367802">
      <items count="10">
        <i x="4" s="1"/>
        <i x="8" s="1"/>
        <i x="7" s="1"/>
        <i x="3" s="1"/>
        <i x="1" s="1"/>
        <i x="9" s="1"/>
        <i x="6" s="1"/>
        <i x="0" s="1"/>
        <i x="2"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d_Type" xr10:uid="{A3D52E91-90C5-446B-BC09-97B99D819C62}" sourceName="Card Type">
  <pivotTables>
    <pivotTable tabId="5" name="PivotTable2"/>
    <pivotTable tabId="6" name="PivotTable3"/>
    <pivotTable tabId="7" name="PivotTable4"/>
    <pivotTable tabId="11" name="PivotTable10"/>
    <pivotTable tabId="11" name="PivotTable11"/>
    <pivotTable tabId="11" name="PivotTable12"/>
    <pivotTable tabId="11" name="PivotTable7"/>
    <pivotTable tabId="11" name="PivotTable8"/>
    <pivotTable tabId="11" name="PivotTable9"/>
    <pivotTable tabId="13" name="PivotTable18"/>
    <pivotTable tabId="8" name="PivotTable5"/>
  </pivotTables>
  <data>
    <tabular pivotCacheId="77367802">
      <items count="4">
        <i x="1" s="1"/>
        <i x="3"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1" xr10:uid="{69797725-1705-45AB-8386-F27C07ED92AC}" cache="Slicer_State" caption="Stat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raud Type" xr10:uid="{C84EACC1-63B0-49AC-AB46-5CD3E9F56938}" cache="Slicer_Fraud_Type" caption="Fraud Type" style="Slicer Style 1" rowHeight="234950"/>
  <slicer name="State" xr10:uid="{11574B44-DE6E-429E-9ED1-501ADC5E09A4}" cache="Slicer_State" caption="State" style="Slicer Style 1" rowHeight="234950"/>
  <slicer name="Card Type" xr10:uid="{3E8CFB51-A650-4AD2-864F-8641B17AA9ED}" cache="Slicer_Card_Type" caption="Card Type"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D869D3-F2FE-4F9E-9849-009C21142D7F}" name="Credit_Card_Fraud_Risk_Analysis" displayName="Credit_Card_Fraud_Risk_Analysis" ref="A1:N1001" tableType="queryTable" totalsRowShown="0">
  <autoFilter ref="A1:N1001" xr:uid="{24D869D3-F2FE-4F9E-9849-009C21142D7F}"/>
  <tableColumns count="14">
    <tableColumn id="1" xr3:uid="{19AB3894-846B-4E59-A84D-DE3C7C1BC096}" uniqueName="1" name="Transaction ID" queryTableFieldId="1"/>
    <tableColumn id="2" xr3:uid="{F694F6FA-2338-4347-A8F4-1D557DF00250}" uniqueName="2" name="Customer Name" queryTableFieldId="2" dataDxfId="9"/>
    <tableColumn id="3" xr3:uid="{978EF2DF-1C5C-4DE9-A01B-67D7AB27B717}" uniqueName="3" name="Merchant Name" queryTableFieldId="3" dataDxfId="8"/>
    <tableColumn id="4" xr3:uid="{FD007F37-EDB3-4DAB-857E-B4B3AB555904}" uniqueName="4" name="Transaction Date" queryTableFieldId="4" dataDxfId="7"/>
    <tableColumn id="5" xr3:uid="{98A40CAE-7D4A-4E09-B7B4-583FF2B1C2ED}" uniqueName="5" name="Transaction Amount (INR)" queryTableFieldId="5"/>
    <tableColumn id="6" xr3:uid="{221EDE05-005A-4020-8425-379ABD7A899D}" uniqueName="6" name="Fraud Risk" queryTableFieldId="6" dataDxfId="6"/>
    <tableColumn id="7" xr3:uid="{7AACF57A-180F-443E-87AC-9956E1CBE9CC}" uniqueName="7" name="Fraud Type" queryTableFieldId="7" dataDxfId="5"/>
    <tableColumn id="8" xr3:uid="{5EE0793D-3054-4763-BC16-23E624FC8A11}" uniqueName="8" name="State" queryTableFieldId="8" dataDxfId="4"/>
    <tableColumn id="9" xr3:uid="{28B0A2C6-07DB-4AA0-AD0F-A1D144EBBE58}" uniqueName="9" name="Card Type" queryTableFieldId="9" dataDxfId="3"/>
    <tableColumn id="10" xr3:uid="{AAF076C1-C04A-4FC4-B4C7-EAE8914F54E5}" uniqueName="10" name="Bank" queryTableFieldId="10" dataDxfId="2"/>
    <tableColumn id="11" xr3:uid="{08E27309-7ACC-4C19-B083-6190F2DE8C49}" uniqueName="11" name="IsFraud" queryTableFieldId="11"/>
    <tableColumn id="12" xr3:uid="{7581F207-2C0D-420C-8871-29731988F15D}" uniqueName="12" name="Fraud Score" queryTableFieldId="12"/>
    <tableColumn id="13" xr3:uid="{7C4E49A9-CB91-4655-B5F9-A5BA07B41C75}" uniqueName="13" name="Transaction Category" queryTableFieldId="13" dataDxfId="1"/>
    <tableColumn id="14" xr3:uid="{1D4F8786-B661-4EAB-9027-B8CF393E1119}" uniqueName="14" name="Merchant Location" queryTableFieldId="1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Transaction_Date" xr10:uid="{BAF97ED0-7B95-44F7-BF52-7BEDB4EC5A71}" sourceName="Transaction Date">
  <pivotTables>
    <pivotTable tabId="6" name="PivotTable3"/>
    <pivotTable tabId="7" name="PivotTable4"/>
    <pivotTable tabId="8" name="PivotTable5"/>
    <pivotTable tabId="11" name="PivotTable10"/>
    <pivotTable tabId="11" name="PivotTable11"/>
    <pivotTable tabId="11" name="PivotTable12"/>
    <pivotTable tabId="11" name="PivotTable7"/>
    <pivotTable tabId="11" name="PivotTable8"/>
    <pivotTable tabId="11" name="PivotTable9"/>
    <pivotTable tabId="5" name="PivotTable2"/>
  </pivotTables>
  <state minimalRefreshVersion="6" lastRefreshVersion="6" pivotCacheId="77367802" filterType="unknown">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ransaction Date" xr10:uid="{A51F75C0-7F5E-418B-A30A-24B693C35F01}" cache="NativeTimeline_Transaction_Date" caption="Transaction Date" level="2" selectionLevel="2" scrollPosition="2023-11-10T00:00:00" style="Timeline Style 1"/>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7" Type="http://schemas.openxmlformats.org/officeDocument/2006/relationships/drawing" Target="../drawings/drawing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1.vml"/><Relationship Id="rId1" Type="http://schemas.openxmlformats.org/officeDocument/2006/relationships/drawing" Target="../drawings/drawing6.xml"/><Relationship Id="rId4" Type="http://schemas.microsoft.com/office/2011/relationships/timeline" Target="../timelines/timeline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B11A1-9AD8-496E-9054-E17E9C74E20B}">
  <dimension ref="A3:B10"/>
  <sheetViews>
    <sheetView workbookViewId="0">
      <selection activeCell="G5" sqref="G5"/>
    </sheetView>
  </sheetViews>
  <sheetFormatPr defaultRowHeight="14.4" x14ac:dyDescent="0.3"/>
  <cols>
    <col min="1" max="1" width="21.21875" bestFit="1" customWidth="1"/>
    <col min="2" max="2" width="29.88671875" bestFit="1" customWidth="1"/>
    <col min="3" max="7" width="21.21875" bestFit="1" customWidth="1"/>
    <col min="8" max="8" width="10.77734375" bestFit="1" customWidth="1"/>
  </cols>
  <sheetData>
    <row r="3" spans="1:2" x14ac:dyDescent="0.3">
      <c r="A3" s="2" t="s">
        <v>12</v>
      </c>
      <c r="B3" t="s">
        <v>1069</v>
      </c>
    </row>
    <row r="4" spans="1:2" x14ac:dyDescent="0.3">
      <c r="A4" t="s">
        <v>58</v>
      </c>
      <c r="B4" s="23">
        <v>2014873</v>
      </c>
    </row>
    <row r="5" spans="1:2" x14ac:dyDescent="0.3">
      <c r="A5" t="s">
        <v>42</v>
      </c>
      <c r="B5" s="23">
        <v>2125395</v>
      </c>
    </row>
    <row r="6" spans="1:2" x14ac:dyDescent="0.3">
      <c r="A6" t="s">
        <v>47</v>
      </c>
      <c r="B6" s="23">
        <v>1993079</v>
      </c>
    </row>
    <row r="7" spans="1:2" x14ac:dyDescent="0.3">
      <c r="A7" t="s">
        <v>65</v>
      </c>
      <c r="B7" s="23">
        <v>1804118</v>
      </c>
    </row>
    <row r="8" spans="1:2" x14ac:dyDescent="0.3">
      <c r="A8" t="s">
        <v>29</v>
      </c>
      <c r="B8" s="23">
        <v>1877974</v>
      </c>
    </row>
    <row r="9" spans="1:2" x14ac:dyDescent="0.3">
      <c r="A9" t="s">
        <v>21</v>
      </c>
      <c r="B9" s="23">
        <v>2411404</v>
      </c>
    </row>
    <row r="10" spans="1:2" x14ac:dyDescent="0.3">
      <c r="A10" t="s">
        <v>1071</v>
      </c>
      <c r="B10" s="23">
        <v>12226843</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1EBCD-BB92-4FCF-A5E4-7422490A2964}">
  <dimension ref="A3:C8"/>
  <sheetViews>
    <sheetView workbookViewId="0">
      <selection activeCell="E21" sqref="E21"/>
    </sheetView>
  </sheetViews>
  <sheetFormatPr defaultRowHeight="14.4" x14ac:dyDescent="0.3"/>
  <cols>
    <col min="1" max="1" width="11.77734375" bestFit="1" customWidth="1"/>
    <col min="2" max="2" width="29.88671875" bestFit="1" customWidth="1"/>
    <col min="3" max="3" width="17.5546875" bestFit="1" customWidth="1"/>
    <col min="4" max="4" width="13.77734375" bestFit="1" customWidth="1"/>
    <col min="5" max="5" width="12.44140625" bestFit="1" customWidth="1"/>
    <col min="6" max="6" width="8.109375" bestFit="1" customWidth="1"/>
    <col min="7" max="7" width="10.77734375" bestFit="1" customWidth="1"/>
  </cols>
  <sheetData>
    <row r="3" spans="1:3" x14ac:dyDescent="0.3">
      <c r="A3" s="2" t="s">
        <v>5</v>
      </c>
      <c r="B3" t="s">
        <v>1069</v>
      </c>
      <c r="C3" t="s">
        <v>1072</v>
      </c>
    </row>
    <row r="4" spans="1:3" x14ac:dyDescent="0.3">
      <c r="A4" t="s">
        <v>50</v>
      </c>
      <c r="B4" s="4">
        <v>1326187</v>
      </c>
      <c r="C4">
        <v>5789</v>
      </c>
    </row>
    <row r="5" spans="1:3" x14ac:dyDescent="0.3">
      <c r="A5" t="s">
        <v>61</v>
      </c>
      <c r="B5" s="4">
        <v>2300042</v>
      </c>
      <c r="C5">
        <v>10473</v>
      </c>
    </row>
    <row r="6" spans="1:3" x14ac:dyDescent="0.3">
      <c r="A6" t="s">
        <v>39</v>
      </c>
      <c r="B6" s="4">
        <v>5186210</v>
      </c>
      <c r="C6">
        <v>21451</v>
      </c>
    </row>
    <row r="7" spans="1:3" x14ac:dyDescent="0.3">
      <c r="A7" t="s">
        <v>16</v>
      </c>
      <c r="B7" s="4">
        <v>3414404</v>
      </c>
      <c r="C7">
        <v>15466</v>
      </c>
    </row>
    <row r="8" spans="1:3" x14ac:dyDescent="0.3">
      <c r="A8" t="s">
        <v>1071</v>
      </c>
      <c r="B8" s="4">
        <v>12226843</v>
      </c>
      <c r="C8">
        <v>53179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C4A66-F026-45B5-AF3D-0FA732884574}">
  <dimension ref="A3:B14"/>
  <sheetViews>
    <sheetView workbookViewId="0">
      <selection activeCell="B3" sqref="B3"/>
    </sheetView>
  </sheetViews>
  <sheetFormatPr defaultRowHeight="14.4" x14ac:dyDescent="0.3"/>
  <cols>
    <col min="1" max="1" width="12.21875" bestFit="1" customWidth="1"/>
    <col min="2" max="3" width="13.6640625" bestFit="1" customWidth="1"/>
  </cols>
  <sheetData>
    <row r="3" spans="1:2" x14ac:dyDescent="0.3">
      <c r="A3" s="2" t="s">
        <v>7</v>
      </c>
      <c r="B3" t="s">
        <v>1073</v>
      </c>
    </row>
    <row r="4" spans="1:2" x14ac:dyDescent="0.3">
      <c r="A4" t="s">
        <v>26</v>
      </c>
      <c r="B4">
        <v>36</v>
      </c>
    </row>
    <row r="5" spans="1:2" x14ac:dyDescent="0.3">
      <c r="A5" t="s">
        <v>62</v>
      </c>
      <c r="B5">
        <v>34</v>
      </c>
    </row>
    <row r="6" spans="1:2" x14ac:dyDescent="0.3">
      <c r="A6" t="s">
        <v>103</v>
      </c>
      <c r="B6">
        <v>34</v>
      </c>
    </row>
    <row r="7" spans="1:2" x14ac:dyDescent="0.3">
      <c r="A7" t="s">
        <v>51</v>
      </c>
      <c r="B7">
        <v>33</v>
      </c>
    </row>
    <row r="8" spans="1:2" x14ac:dyDescent="0.3">
      <c r="A8" t="s">
        <v>33</v>
      </c>
      <c r="B8">
        <v>29</v>
      </c>
    </row>
    <row r="9" spans="1:2" x14ac:dyDescent="0.3">
      <c r="A9" t="s">
        <v>56</v>
      </c>
      <c r="B9">
        <v>28</v>
      </c>
    </row>
    <row r="10" spans="1:2" x14ac:dyDescent="0.3">
      <c r="A10" t="s">
        <v>18</v>
      </c>
      <c r="B10">
        <v>27</v>
      </c>
    </row>
    <row r="11" spans="1:2" x14ac:dyDescent="0.3">
      <c r="A11" t="s">
        <v>81</v>
      </c>
      <c r="B11">
        <v>23</v>
      </c>
    </row>
    <row r="12" spans="1:2" x14ac:dyDescent="0.3">
      <c r="A12" t="s">
        <v>40</v>
      </c>
      <c r="B12">
        <v>21</v>
      </c>
    </row>
    <row r="13" spans="1:2" x14ac:dyDescent="0.3">
      <c r="A13" t="s">
        <v>46</v>
      </c>
      <c r="B13">
        <v>21</v>
      </c>
    </row>
    <row r="14" spans="1:2" x14ac:dyDescent="0.3">
      <c r="A14" t="s">
        <v>1071</v>
      </c>
      <c r="B14">
        <v>286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92D23-14E8-48F4-A21F-C91937572EC8}">
  <dimension ref="A3:B16"/>
  <sheetViews>
    <sheetView workbookViewId="0">
      <selection activeCell="M18" sqref="M18"/>
    </sheetView>
  </sheetViews>
  <sheetFormatPr defaultRowHeight="14.4" x14ac:dyDescent="0.3"/>
  <cols>
    <col min="1" max="1" width="26" bestFit="1" customWidth="1"/>
    <col min="2" max="2" width="13.6640625" bestFit="1" customWidth="1"/>
    <col min="3" max="3" width="11.5546875" bestFit="1" customWidth="1"/>
    <col min="4" max="4" width="10" bestFit="1" customWidth="1"/>
    <col min="5" max="5" width="12.44140625" bestFit="1" customWidth="1"/>
    <col min="6" max="6" width="8.77734375" bestFit="1" customWidth="1"/>
    <col min="7" max="7" width="13.5546875" bestFit="1" customWidth="1"/>
    <col min="8" max="8" width="10.77734375" bestFit="1" customWidth="1"/>
  </cols>
  <sheetData>
    <row r="3" spans="1:2" x14ac:dyDescent="0.3">
      <c r="A3" s="2" t="s">
        <v>1086</v>
      </c>
      <c r="B3" t="s">
        <v>1073</v>
      </c>
    </row>
    <row r="4" spans="1:2" x14ac:dyDescent="0.3">
      <c r="A4" t="s">
        <v>1074</v>
      </c>
      <c r="B4">
        <v>17</v>
      </c>
    </row>
    <row r="5" spans="1:2" x14ac:dyDescent="0.3">
      <c r="A5" t="s">
        <v>1075</v>
      </c>
      <c r="B5">
        <v>18</v>
      </c>
    </row>
    <row r="6" spans="1:2" x14ac:dyDescent="0.3">
      <c r="A6" t="s">
        <v>1076</v>
      </c>
      <c r="B6">
        <v>26</v>
      </c>
    </row>
    <row r="7" spans="1:2" x14ac:dyDescent="0.3">
      <c r="A7" t="s">
        <v>1077</v>
      </c>
      <c r="B7">
        <v>22</v>
      </c>
    </row>
    <row r="8" spans="1:2" x14ac:dyDescent="0.3">
      <c r="A8" t="s">
        <v>1078</v>
      </c>
      <c r="B8">
        <v>22</v>
      </c>
    </row>
    <row r="9" spans="1:2" x14ac:dyDescent="0.3">
      <c r="A9" t="s">
        <v>1079</v>
      </c>
      <c r="B9">
        <v>28</v>
      </c>
    </row>
    <row r="10" spans="1:2" x14ac:dyDescent="0.3">
      <c r="A10" t="s">
        <v>1080</v>
      </c>
      <c r="B10">
        <v>26</v>
      </c>
    </row>
    <row r="11" spans="1:2" x14ac:dyDescent="0.3">
      <c r="A11" t="s">
        <v>1081</v>
      </c>
      <c r="B11">
        <v>29</v>
      </c>
    </row>
    <row r="12" spans="1:2" x14ac:dyDescent="0.3">
      <c r="A12" t="s">
        <v>1082</v>
      </c>
      <c r="B12">
        <v>21</v>
      </c>
    </row>
    <row r="13" spans="1:2" x14ac:dyDescent="0.3">
      <c r="A13" t="s">
        <v>1083</v>
      </c>
      <c r="B13">
        <v>22</v>
      </c>
    </row>
    <row r="14" spans="1:2" x14ac:dyDescent="0.3">
      <c r="A14" t="s">
        <v>1084</v>
      </c>
      <c r="B14">
        <v>21</v>
      </c>
    </row>
    <row r="15" spans="1:2" x14ac:dyDescent="0.3">
      <c r="A15" t="s">
        <v>1085</v>
      </c>
      <c r="B15">
        <v>34</v>
      </c>
    </row>
    <row r="16" spans="1:2" x14ac:dyDescent="0.3">
      <c r="A16" t="s">
        <v>1071</v>
      </c>
      <c r="B16">
        <v>286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F684-75B8-45F7-9D88-5CAEA315F369}">
  <dimension ref="A3:W19"/>
  <sheetViews>
    <sheetView tabSelected="1" workbookViewId="0">
      <selection activeCell="C26" sqref="C26"/>
    </sheetView>
  </sheetViews>
  <sheetFormatPr defaultRowHeight="14.4" x14ac:dyDescent="0.3"/>
  <cols>
    <col min="1" max="1" width="12.5546875" bestFit="1" customWidth="1"/>
    <col min="2" max="2" width="29.88671875" bestFit="1" customWidth="1"/>
    <col min="4" max="4" width="12.5546875" bestFit="1" customWidth="1"/>
    <col min="5" max="5" width="17.5546875" bestFit="1" customWidth="1"/>
    <col min="9" max="9" width="12.5546875" bestFit="1" customWidth="1"/>
    <col min="10" max="10" width="13.6640625" bestFit="1" customWidth="1"/>
    <col min="11" max="11" width="17.5546875" bestFit="1" customWidth="1"/>
    <col min="14" max="14" width="12.5546875" bestFit="1" customWidth="1"/>
    <col min="15" max="15" width="13.6640625" bestFit="1" customWidth="1"/>
    <col min="19" max="19" width="12.5546875" bestFit="1" customWidth="1"/>
    <col min="20" max="20" width="18.33203125" bestFit="1" customWidth="1"/>
    <col min="21" max="21" width="19.33203125" bestFit="1" customWidth="1"/>
    <col min="22" max="22" width="12.5546875" bestFit="1" customWidth="1"/>
    <col min="23" max="23" width="18.33203125" bestFit="1" customWidth="1"/>
  </cols>
  <sheetData>
    <row r="3" spans="1:23" x14ac:dyDescent="0.3">
      <c r="A3" s="5" t="s">
        <v>1070</v>
      </c>
      <c r="B3" s="6" t="s">
        <v>1069</v>
      </c>
      <c r="D3" s="5" t="s">
        <v>1070</v>
      </c>
      <c r="E3" s="6" t="s">
        <v>1072</v>
      </c>
      <c r="I3" s="5" t="s">
        <v>1070</v>
      </c>
      <c r="J3" s="15" t="s">
        <v>1073</v>
      </c>
      <c r="K3" s="12" t="s">
        <v>1087</v>
      </c>
      <c r="N3" s="5" t="s">
        <v>1070</v>
      </c>
      <c r="O3" s="6" t="s">
        <v>1073</v>
      </c>
      <c r="S3" s="11" t="s">
        <v>1070</v>
      </c>
      <c r="T3" s="6" t="s">
        <v>1088</v>
      </c>
      <c r="V3" s="11" t="s">
        <v>1070</v>
      </c>
      <c r="W3" s="6" t="s">
        <v>1088</v>
      </c>
    </row>
    <row r="4" spans="1:23" x14ac:dyDescent="0.3">
      <c r="A4" s="10" t="s">
        <v>1074</v>
      </c>
      <c r="B4" s="19">
        <v>986019</v>
      </c>
      <c r="D4" s="10" t="s">
        <v>1074</v>
      </c>
      <c r="E4" s="26">
        <v>3988</v>
      </c>
      <c r="I4" s="13" t="s">
        <v>1074</v>
      </c>
      <c r="J4" s="29">
        <v>17</v>
      </c>
      <c r="K4" s="12">
        <v>78</v>
      </c>
      <c r="N4" s="10" t="s">
        <v>1074</v>
      </c>
      <c r="O4" s="26">
        <v>17</v>
      </c>
      <c r="S4" s="13" t="s">
        <v>50</v>
      </c>
      <c r="T4" s="26">
        <v>107</v>
      </c>
      <c r="V4" s="13" t="s">
        <v>50</v>
      </c>
      <c r="W4" s="26">
        <v>107</v>
      </c>
    </row>
    <row r="5" spans="1:23" x14ac:dyDescent="0.3">
      <c r="A5" s="8" t="s">
        <v>1075</v>
      </c>
      <c r="B5" s="20">
        <v>882903</v>
      </c>
      <c r="D5" s="8" t="s">
        <v>1075</v>
      </c>
      <c r="E5" s="27">
        <v>4439</v>
      </c>
      <c r="I5" s="13" t="s">
        <v>1075</v>
      </c>
      <c r="J5" s="30">
        <v>18</v>
      </c>
      <c r="K5" s="24">
        <v>83</v>
      </c>
      <c r="N5" s="8" t="s">
        <v>1075</v>
      </c>
      <c r="O5" s="27">
        <v>18</v>
      </c>
      <c r="S5" s="7" t="s">
        <v>1071</v>
      </c>
      <c r="T5" s="28">
        <v>107</v>
      </c>
      <c r="V5" s="13" t="s">
        <v>61</v>
      </c>
      <c r="W5" s="27">
        <v>196</v>
      </c>
    </row>
    <row r="6" spans="1:23" x14ac:dyDescent="0.3">
      <c r="A6" s="8" t="s">
        <v>1076</v>
      </c>
      <c r="B6" s="20">
        <v>1090851</v>
      </c>
      <c r="D6" s="8" t="s">
        <v>1076</v>
      </c>
      <c r="E6" s="27">
        <v>4942</v>
      </c>
      <c r="I6" s="13" t="s">
        <v>1076</v>
      </c>
      <c r="J6" s="30">
        <v>26</v>
      </c>
      <c r="K6" s="24">
        <v>89</v>
      </c>
      <c r="N6" s="8" t="s">
        <v>1076</v>
      </c>
      <c r="O6" s="27">
        <v>26</v>
      </c>
      <c r="V6" s="13" t="s">
        <v>39</v>
      </c>
      <c r="W6" s="27">
        <v>400</v>
      </c>
    </row>
    <row r="7" spans="1:23" x14ac:dyDescent="0.3">
      <c r="A7" s="8" t="s">
        <v>1077</v>
      </c>
      <c r="B7" s="20">
        <v>991622</v>
      </c>
      <c r="D7" s="8" t="s">
        <v>1077</v>
      </c>
      <c r="E7" s="27">
        <v>4148</v>
      </c>
      <c r="I7" s="13" t="s">
        <v>1077</v>
      </c>
      <c r="J7" s="30">
        <v>22</v>
      </c>
      <c r="K7" s="24">
        <v>77</v>
      </c>
      <c r="N7" s="8" t="s">
        <v>1077</v>
      </c>
      <c r="O7" s="27">
        <v>22</v>
      </c>
      <c r="V7" s="13" t="s">
        <v>16</v>
      </c>
      <c r="W7" s="27">
        <v>297</v>
      </c>
    </row>
    <row r="8" spans="1:23" x14ac:dyDescent="0.3">
      <c r="A8" s="8" t="s">
        <v>1078</v>
      </c>
      <c r="B8" s="20">
        <v>1125317</v>
      </c>
      <c r="D8" s="8" t="s">
        <v>1078</v>
      </c>
      <c r="E8" s="27">
        <v>4793</v>
      </c>
      <c r="I8" s="13" t="s">
        <v>1078</v>
      </c>
      <c r="J8" s="30">
        <v>22</v>
      </c>
      <c r="K8" s="24">
        <v>94</v>
      </c>
      <c r="N8" s="8" t="s">
        <v>1078</v>
      </c>
      <c r="O8" s="27">
        <v>22</v>
      </c>
      <c r="V8" s="7" t="s">
        <v>1071</v>
      </c>
      <c r="W8" s="28">
        <v>1000</v>
      </c>
    </row>
    <row r="9" spans="1:23" x14ac:dyDescent="0.3">
      <c r="A9" s="8" t="s">
        <v>1079</v>
      </c>
      <c r="B9" s="20">
        <v>952807</v>
      </c>
      <c r="D9" s="8" t="s">
        <v>1079</v>
      </c>
      <c r="E9" s="27">
        <v>4067</v>
      </c>
      <c r="I9" s="13" t="s">
        <v>1079</v>
      </c>
      <c r="J9" s="30">
        <v>28</v>
      </c>
      <c r="K9" s="24">
        <v>75</v>
      </c>
      <c r="N9" s="8" t="s">
        <v>1079</v>
      </c>
      <c r="O9" s="27">
        <v>28</v>
      </c>
      <c r="T9">
        <f>GETPIVOTDATA("Fraud Type",$S$3)</f>
        <v>107</v>
      </c>
    </row>
    <row r="10" spans="1:23" x14ac:dyDescent="0.3">
      <c r="A10" s="8" t="s">
        <v>1080</v>
      </c>
      <c r="B10" s="20">
        <v>1058071</v>
      </c>
      <c r="D10" s="8" t="s">
        <v>1080</v>
      </c>
      <c r="E10" s="27">
        <v>4801</v>
      </c>
      <c r="I10" s="13" t="s">
        <v>1080</v>
      </c>
      <c r="J10" s="30">
        <v>26</v>
      </c>
      <c r="K10" s="24">
        <v>86</v>
      </c>
      <c r="N10" s="8" t="s">
        <v>1080</v>
      </c>
      <c r="O10" s="27">
        <v>26</v>
      </c>
      <c r="W10">
        <f>GETPIVOTDATA("Fraud Type",$V$3)</f>
        <v>1000</v>
      </c>
    </row>
    <row r="11" spans="1:23" x14ac:dyDescent="0.3">
      <c r="A11" s="8" t="s">
        <v>1081</v>
      </c>
      <c r="B11" s="20">
        <v>1033667</v>
      </c>
      <c r="D11" s="8" t="s">
        <v>1081</v>
      </c>
      <c r="E11" s="27">
        <v>3809</v>
      </c>
      <c r="I11" s="13" t="s">
        <v>1081</v>
      </c>
      <c r="J11" s="30">
        <v>29</v>
      </c>
      <c r="K11" s="24">
        <v>79</v>
      </c>
      <c r="N11" s="8" t="s">
        <v>1081</v>
      </c>
      <c r="O11" s="27">
        <v>29</v>
      </c>
    </row>
    <row r="12" spans="1:23" x14ac:dyDescent="0.3">
      <c r="A12" s="8" t="s">
        <v>1082</v>
      </c>
      <c r="B12" s="20">
        <v>625421</v>
      </c>
      <c r="D12" s="8" t="s">
        <v>1082</v>
      </c>
      <c r="E12" s="27">
        <v>2921</v>
      </c>
      <c r="I12" s="13" t="s">
        <v>1082</v>
      </c>
      <c r="J12" s="30">
        <v>21</v>
      </c>
      <c r="K12" s="24">
        <v>61</v>
      </c>
      <c r="N12" s="8" t="s">
        <v>1082</v>
      </c>
      <c r="O12" s="27">
        <v>21</v>
      </c>
    </row>
    <row r="13" spans="1:23" x14ac:dyDescent="0.3">
      <c r="A13" s="8" t="s">
        <v>1083</v>
      </c>
      <c r="B13" s="20">
        <v>1163626</v>
      </c>
      <c r="D13" s="8" t="s">
        <v>1083</v>
      </c>
      <c r="E13" s="27">
        <v>5334</v>
      </c>
      <c r="I13" s="13" t="s">
        <v>1083</v>
      </c>
      <c r="J13" s="30">
        <v>22</v>
      </c>
      <c r="K13" s="24">
        <v>93</v>
      </c>
      <c r="N13" s="8" t="s">
        <v>1083</v>
      </c>
      <c r="O13" s="27">
        <v>22</v>
      </c>
      <c r="T13" s="16">
        <f>T9/W10</f>
        <v>0.107</v>
      </c>
    </row>
    <row r="14" spans="1:23" x14ac:dyDescent="0.3">
      <c r="A14" s="8" t="s">
        <v>1084</v>
      </c>
      <c r="B14" s="20">
        <v>1038888</v>
      </c>
      <c r="D14" s="8" t="s">
        <v>1084</v>
      </c>
      <c r="E14" s="27">
        <v>4582</v>
      </c>
      <c r="I14" s="13" t="s">
        <v>1084</v>
      </c>
      <c r="J14" s="30">
        <v>21</v>
      </c>
      <c r="K14" s="24">
        <v>84</v>
      </c>
      <c r="N14" s="8" t="s">
        <v>1084</v>
      </c>
      <c r="O14" s="27">
        <v>21</v>
      </c>
    </row>
    <row r="15" spans="1:23" x14ac:dyDescent="0.3">
      <c r="A15" s="9" t="s">
        <v>1085</v>
      </c>
      <c r="B15" s="20">
        <v>1277651</v>
      </c>
      <c r="D15" s="9" t="s">
        <v>1085</v>
      </c>
      <c r="E15" s="27">
        <v>5355</v>
      </c>
      <c r="I15" s="13" t="s">
        <v>1085</v>
      </c>
      <c r="J15" s="30">
        <v>34</v>
      </c>
      <c r="K15" s="24">
        <v>101</v>
      </c>
      <c r="N15" s="9" t="s">
        <v>1085</v>
      </c>
      <c r="O15" s="27">
        <v>34</v>
      </c>
    </row>
    <row r="16" spans="1:23" x14ac:dyDescent="0.3">
      <c r="A16" s="7" t="s">
        <v>1071</v>
      </c>
      <c r="B16" s="21">
        <v>12226843</v>
      </c>
      <c r="D16" s="7" t="s">
        <v>1071</v>
      </c>
      <c r="E16" s="28">
        <v>53179</v>
      </c>
      <c r="I16" s="7" t="s">
        <v>1071</v>
      </c>
      <c r="J16" s="31">
        <v>286</v>
      </c>
      <c r="K16" s="25">
        <v>1000</v>
      </c>
      <c r="N16" s="7" t="s">
        <v>1071</v>
      </c>
      <c r="O16" s="28">
        <v>286</v>
      </c>
    </row>
    <row r="18" spans="2:15" x14ac:dyDescent="0.3">
      <c r="J18">
        <f>GETPIVOTDATA("Sum of IsFraud",$I$3)</f>
        <v>286</v>
      </c>
      <c r="K18">
        <f>GETPIVOTDATA("Count of Fraud Risk",$I$3)</f>
        <v>1000</v>
      </c>
      <c r="O18" s="17">
        <f>GETPIVOTDATA("IsFraud",$N$3)</f>
        <v>286</v>
      </c>
    </row>
    <row r="19" spans="2:15" x14ac:dyDescent="0.3">
      <c r="B19" s="22">
        <f>GETPIVOTDATA("Transaction Amount (INR)",$A$3)</f>
        <v>12226843</v>
      </c>
      <c r="E19" s="14">
        <f>GETPIVOTDATA("Fraud Score",$D$3)</f>
        <v>53179</v>
      </c>
      <c r="K19" s="16">
        <f>J18/K18</f>
        <v>0.28599999999999998</v>
      </c>
    </row>
  </sheetData>
  <pageMargins left="0.7" right="0.7" top="0.75" bottom="0.75" header="0.3" footer="0.3"/>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619D1-31E5-4488-A0F7-DC7CE62F1F12}">
  <dimension ref="A3:F19"/>
  <sheetViews>
    <sheetView zoomScale="143" workbookViewId="0">
      <selection activeCell="F1" sqref="F1"/>
    </sheetView>
  </sheetViews>
  <sheetFormatPr defaultRowHeight="14.4" x14ac:dyDescent="0.3"/>
  <cols>
    <col min="1" max="1" width="12.5546875" bestFit="1" customWidth="1"/>
    <col min="2" max="2" width="19.6640625" bestFit="1" customWidth="1"/>
    <col min="3" max="3" width="9.44140625" customWidth="1"/>
    <col min="4" max="4" width="10" customWidth="1"/>
    <col min="5" max="5" width="10.5546875" customWidth="1"/>
    <col min="6" max="6" width="9.44140625" customWidth="1"/>
  </cols>
  <sheetData>
    <row r="3" spans="1:6" x14ac:dyDescent="0.3">
      <c r="A3" s="2" t="s">
        <v>1070</v>
      </c>
      <c r="B3" t="s">
        <v>1089</v>
      </c>
      <c r="C3" t="s">
        <v>1069</v>
      </c>
      <c r="D3" t="s">
        <v>1087</v>
      </c>
      <c r="E3" t="s">
        <v>1073</v>
      </c>
      <c r="F3" t="s">
        <v>1072</v>
      </c>
    </row>
    <row r="4" spans="1:6" x14ac:dyDescent="0.3">
      <c r="A4" s="3" t="s">
        <v>1074</v>
      </c>
      <c r="B4">
        <v>4527683077</v>
      </c>
      <c r="C4">
        <v>986019</v>
      </c>
      <c r="D4">
        <v>78</v>
      </c>
      <c r="E4">
        <v>17</v>
      </c>
      <c r="F4">
        <v>3988</v>
      </c>
    </row>
    <row r="5" spans="1:6" x14ac:dyDescent="0.3">
      <c r="A5" s="3" t="s">
        <v>1075</v>
      </c>
      <c r="B5">
        <v>4603906212</v>
      </c>
      <c r="C5">
        <v>882903</v>
      </c>
      <c r="D5">
        <v>83</v>
      </c>
      <c r="E5">
        <v>18</v>
      </c>
      <c r="F5">
        <v>4439</v>
      </c>
    </row>
    <row r="6" spans="1:6" x14ac:dyDescent="0.3">
      <c r="A6" s="3" t="s">
        <v>1076</v>
      </c>
      <c r="B6">
        <v>4484045383</v>
      </c>
      <c r="C6">
        <v>1090851</v>
      </c>
      <c r="D6">
        <v>89</v>
      </c>
      <c r="E6">
        <v>26</v>
      </c>
      <c r="F6">
        <v>4942</v>
      </c>
    </row>
    <row r="7" spans="1:6" x14ac:dyDescent="0.3">
      <c r="A7" s="3" t="s">
        <v>1077</v>
      </c>
      <c r="B7">
        <v>4506011381</v>
      </c>
      <c r="C7">
        <v>991622</v>
      </c>
      <c r="D7">
        <v>77</v>
      </c>
      <c r="E7">
        <v>22</v>
      </c>
      <c r="F7">
        <v>4148</v>
      </c>
    </row>
    <row r="8" spans="1:6" x14ac:dyDescent="0.3">
      <c r="A8" s="3" t="s">
        <v>1078</v>
      </c>
      <c r="B8">
        <v>5403284336</v>
      </c>
      <c r="C8">
        <v>1125317</v>
      </c>
      <c r="D8">
        <v>94</v>
      </c>
      <c r="E8">
        <v>22</v>
      </c>
      <c r="F8">
        <v>4793</v>
      </c>
    </row>
    <row r="9" spans="1:6" x14ac:dyDescent="0.3">
      <c r="A9" s="3" t="s">
        <v>1079</v>
      </c>
      <c r="B9">
        <v>4019364885</v>
      </c>
      <c r="C9">
        <v>952807</v>
      </c>
      <c r="D9">
        <v>75</v>
      </c>
      <c r="E9">
        <v>28</v>
      </c>
      <c r="F9">
        <v>4067</v>
      </c>
    </row>
    <row r="10" spans="1:6" x14ac:dyDescent="0.3">
      <c r="A10" s="3" t="s">
        <v>1080</v>
      </c>
      <c r="B10">
        <v>4667907396</v>
      </c>
      <c r="C10">
        <v>1058071</v>
      </c>
      <c r="D10">
        <v>86</v>
      </c>
      <c r="E10">
        <v>26</v>
      </c>
      <c r="F10">
        <v>4801</v>
      </c>
    </row>
    <row r="11" spans="1:6" x14ac:dyDescent="0.3">
      <c r="A11" s="3" t="s">
        <v>1081</v>
      </c>
      <c r="B11">
        <v>4319096910</v>
      </c>
      <c r="C11">
        <v>1033667</v>
      </c>
      <c r="D11">
        <v>79</v>
      </c>
      <c r="E11">
        <v>29</v>
      </c>
      <c r="F11">
        <v>3809</v>
      </c>
    </row>
    <row r="12" spans="1:6" x14ac:dyDescent="0.3">
      <c r="A12" s="3" t="s">
        <v>1082</v>
      </c>
      <c r="B12">
        <v>3347467731</v>
      </c>
      <c r="C12">
        <v>625421</v>
      </c>
      <c r="D12">
        <v>61</v>
      </c>
      <c r="E12">
        <v>21</v>
      </c>
      <c r="F12">
        <v>2921</v>
      </c>
    </row>
    <row r="13" spans="1:6" x14ac:dyDescent="0.3">
      <c r="A13" s="3" t="s">
        <v>1083</v>
      </c>
      <c r="B13">
        <v>5214720547</v>
      </c>
      <c r="C13">
        <v>1163626</v>
      </c>
      <c r="D13">
        <v>93</v>
      </c>
      <c r="E13">
        <v>22</v>
      </c>
      <c r="F13">
        <v>5334</v>
      </c>
    </row>
    <row r="14" spans="1:6" x14ac:dyDescent="0.3">
      <c r="A14" s="3" t="s">
        <v>1084</v>
      </c>
      <c r="B14">
        <v>4144553214</v>
      </c>
      <c r="C14">
        <v>1038888</v>
      </c>
      <c r="D14">
        <v>84</v>
      </c>
      <c r="E14">
        <v>21</v>
      </c>
      <c r="F14">
        <v>4582</v>
      </c>
    </row>
    <row r="15" spans="1:6" x14ac:dyDescent="0.3">
      <c r="A15" s="3" t="s">
        <v>1085</v>
      </c>
      <c r="B15">
        <v>5622191188</v>
      </c>
      <c r="C15">
        <v>1277651</v>
      </c>
      <c r="D15">
        <v>101</v>
      </c>
      <c r="E15">
        <v>34</v>
      </c>
      <c r="F15">
        <v>5355</v>
      </c>
    </row>
    <row r="16" spans="1:6" x14ac:dyDescent="0.3">
      <c r="A16" s="3" t="s">
        <v>1071</v>
      </c>
      <c r="B16">
        <v>54860232260</v>
      </c>
      <c r="C16">
        <v>12226843</v>
      </c>
      <c r="D16">
        <v>1000</v>
      </c>
      <c r="E16">
        <v>286</v>
      </c>
      <c r="F16">
        <v>53179</v>
      </c>
    </row>
    <row r="19" spans="1:6" x14ac:dyDescent="0.3">
      <c r="A19" s="3" t="s">
        <v>1090</v>
      </c>
      <c r="B19" s="18"/>
      <c r="C19" s="18">
        <f>GETPIVOTDATA("Sum of Transaction Amount (INR)",$A$3,"Months (Transaction Date)",12)/GETPIVOTDATA("Sum of Transaction Amount (INR)",$A$3,"Months (Transaction Date)",11)-1</f>
        <v>0.22982554423575974</v>
      </c>
      <c r="D19" s="18">
        <f>GETPIVOTDATA("Count of Fraud Risk",$A$3,"Months (Transaction Date)",12)/GETPIVOTDATA("Count of Fraud Risk",$A$3,"Months (Transaction Date)",11)-1</f>
        <v>0.20238095238095233</v>
      </c>
      <c r="E19" s="18">
        <f>GETPIVOTDATA("Sum of IsFraud",$A$3,"Months (Transaction Date)",12)/GETPIVOTDATA("Sum of IsFraud",$A$3,"Months (Transaction Date)",11)-1</f>
        <v>0.61904761904761907</v>
      </c>
      <c r="F19" s="18">
        <f>GETPIVOTDATA("Sum of Fraud Score",$A$3,"Months (Transaction Date)",12)/GETPIVOTDATA("Sum of Fraud Score",$A$3,"Months (Transaction Date)",11)-1</f>
        <v>0.16870362287210816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9D67E-6FE0-4F08-BA02-C9F6E419C11F}">
  <dimension ref="A1:N1001"/>
  <sheetViews>
    <sheetView topLeftCell="A2" workbookViewId="0">
      <selection activeCell="A4" sqref="A4"/>
    </sheetView>
  </sheetViews>
  <sheetFormatPr defaultRowHeight="14.4" x14ac:dyDescent="0.3"/>
  <cols>
    <col min="1" max="1" width="15.33203125" bestFit="1" customWidth="1"/>
    <col min="2" max="2" width="22.6640625" bestFit="1" customWidth="1"/>
    <col min="3" max="3" width="17" bestFit="1" customWidth="1"/>
    <col min="4" max="4" width="17.44140625" bestFit="1" customWidth="1"/>
    <col min="5" max="5" width="25.44140625" bestFit="1" customWidth="1"/>
    <col min="6" max="6" width="11.77734375" bestFit="1" customWidth="1"/>
    <col min="7" max="7" width="15.77734375" bestFit="1" customWidth="1"/>
    <col min="8" max="8" width="12.21875" bestFit="1" customWidth="1"/>
    <col min="9" max="9" width="11.6640625" bestFit="1" customWidth="1"/>
    <col min="10" max="10" width="13.6640625" bestFit="1" customWidth="1"/>
    <col min="11" max="11" width="9.33203125" bestFit="1" customWidth="1"/>
    <col min="12" max="12" width="13.109375" bestFit="1" customWidth="1"/>
    <col min="13" max="13" width="21.21875" bestFit="1" customWidth="1"/>
    <col min="14" max="14" width="19.21875" bestFit="1" customWidth="1"/>
    <col min="16" max="16" width="9.88671875" customWidth="1"/>
  </cols>
  <sheetData>
    <row r="1" spans="1:14" x14ac:dyDescent="0.3">
      <c r="A1" t="s">
        <v>0</v>
      </c>
      <c r="B1" t="s">
        <v>1</v>
      </c>
      <c r="C1" t="s">
        <v>2</v>
      </c>
      <c r="D1" t="s">
        <v>3</v>
      </c>
      <c r="E1" t="s">
        <v>4</v>
      </c>
      <c r="F1" t="s">
        <v>5</v>
      </c>
      <c r="G1" t="s">
        <v>6</v>
      </c>
      <c r="H1" t="s">
        <v>7</v>
      </c>
      <c r="I1" t="s">
        <v>8</v>
      </c>
      <c r="J1" t="s">
        <v>9</v>
      </c>
      <c r="K1" t="s">
        <v>10</v>
      </c>
      <c r="L1" t="s">
        <v>11</v>
      </c>
      <c r="M1" t="s">
        <v>12</v>
      </c>
      <c r="N1" t="s">
        <v>13</v>
      </c>
    </row>
    <row r="2" spans="1:14" x14ac:dyDescent="0.3">
      <c r="A2">
        <v>17797619</v>
      </c>
      <c r="B2" t="s">
        <v>14</v>
      </c>
      <c r="C2" t="s">
        <v>15</v>
      </c>
      <c r="D2" s="1">
        <v>45606</v>
      </c>
      <c r="E2">
        <v>11673</v>
      </c>
      <c r="F2" t="s">
        <v>16</v>
      </c>
      <c r="G2" t="s">
        <v>17</v>
      </c>
      <c r="H2" t="s">
        <v>18</v>
      </c>
      <c r="I2" t="s">
        <v>19</v>
      </c>
      <c r="J2" t="s">
        <v>20</v>
      </c>
      <c r="K2">
        <v>0</v>
      </c>
      <c r="L2">
        <v>57</v>
      </c>
      <c r="M2" t="s">
        <v>21</v>
      </c>
      <c r="N2" t="s">
        <v>22</v>
      </c>
    </row>
    <row r="3" spans="1:14" x14ac:dyDescent="0.3">
      <c r="A3">
        <v>50040671</v>
      </c>
      <c r="B3" t="s">
        <v>23</v>
      </c>
      <c r="C3" t="s">
        <v>24</v>
      </c>
      <c r="D3" s="1">
        <v>45432</v>
      </c>
      <c r="E3">
        <v>16594</v>
      </c>
      <c r="F3" t="s">
        <v>16</v>
      </c>
      <c r="G3" t="s">
        <v>25</v>
      </c>
      <c r="H3" t="s">
        <v>26</v>
      </c>
      <c r="I3" t="s">
        <v>27</v>
      </c>
      <c r="J3" t="s">
        <v>28</v>
      </c>
      <c r="K3">
        <v>0</v>
      </c>
      <c r="L3">
        <v>10</v>
      </c>
      <c r="M3" t="s">
        <v>29</v>
      </c>
      <c r="N3" t="s">
        <v>22</v>
      </c>
    </row>
    <row r="4" spans="1:14" x14ac:dyDescent="0.3">
      <c r="A4">
        <v>88177651</v>
      </c>
      <c r="B4" t="s">
        <v>30</v>
      </c>
      <c r="C4" t="s">
        <v>31</v>
      </c>
      <c r="D4" s="1">
        <v>45440</v>
      </c>
      <c r="E4">
        <v>23347</v>
      </c>
      <c r="F4" t="s">
        <v>16</v>
      </c>
      <c r="G4" t="s">
        <v>32</v>
      </c>
      <c r="H4" t="s">
        <v>33</v>
      </c>
      <c r="I4" t="s">
        <v>34</v>
      </c>
      <c r="J4" t="s">
        <v>35</v>
      </c>
      <c r="K4">
        <v>0</v>
      </c>
      <c r="L4">
        <v>55</v>
      </c>
      <c r="M4" t="s">
        <v>21</v>
      </c>
      <c r="N4" t="s">
        <v>36</v>
      </c>
    </row>
    <row r="5" spans="1:14" x14ac:dyDescent="0.3">
      <c r="A5">
        <v>24228305</v>
      </c>
      <c r="B5" t="s">
        <v>37</v>
      </c>
      <c r="C5" t="s">
        <v>38</v>
      </c>
      <c r="D5" s="1">
        <v>45300</v>
      </c>
      <c r="E5">
        <v>20753</v>
      </c>
      <c r="F5" t="s">
        <v>39</v>
      </c>
      <c r="G5" t="s">
        <v>32</v>
      </c>
      <c r="H5" t="s">
        <v>40</v>
      </c>
      <c r="I5" t="s">
        <v>34</v>
      </c>
      <c r="J5" t="s">
        <v>41</v>
      </c>
      <c r="K5">
        <v>0</v>
      </c>
      <c r="L5">
        <v>30</v>
      </c>
      <c r="M5" t="s">
        <v>42</v>
      </c>
      <c r="N5" t="s">
        <v>43</v>
      </c>
    </row>
    <row r="6" spans="1:14" x14ac:dyDescent="0.3">
      <c r="A6">
        <v>87307869</v>
      </c>
      <c r="B6" t="s">
        <v>44</v>
      </c>
      <c r="C6" t="s">
        <v>45</v>
      </c>
      <c r="D6" s="1">
        <v>45500</v>
      </c>
      <c r="E6">
        <v>6432</v>
      </c>
      <c r="F6" t="s">
        <v>39</v>
      </c>
      <c r="G6" t="s">
        <v>32</v>
      </c>
      <c r="H6" t="s">
        <v>46</v>
      </c>
      <c r="I6" t="s">
        <v>27</v>
      </c>
      <c r="J6" t="s">
        <v>28</v>
      </c>
      <c r="K6">
        <v>0</v>
      </c>
      <c r="L6">
        <v>86</v>
      </c>
      <c r="M6" t="s">
        <v>47</v>
      </c>
      <c r="N6" t="s">
        <v>48</v>
      </c>
    </row>
    <row r="7" spans="1:14" x14ac:dyDescent="0.3">
      <c r="A7">
        <v>25042953</v>
      </c>
      <c r="B7" t="s">
        <v>49</v>
      </c>
      <c r="C7" t="s">
        <v>38</v>
      </c>
      <c r="D7" s="1">
        <v>45280</v>
      </c>
      <c r="E7">
        <v>4586</v>
      </c>
      <c r="F7" t="s">
        <v>50</v>
      </c>
      <c r="G7" t="s">
        <v>32</v>
      </c>
      <c r="H7" t="s">
        <v>51</v>
      </c>
      <c r="I7" t="s">
        <v>27</v>
      </c>
      <c r="J7" t="s">
        <v>52</v>
      </c>
      <c r="K7">
        <v>0</v>
      </c>
      <c r="L7">
        <v>80</v>
      </c>
      <c r="M7" t="s">
        <v>42</v>
      </c>
      <c r="N7" t="s">
        <v>48</v>
      </c>
    </row>
    <row r="8" spans="1:14" x14ac:dyDescent="0.3">
      <c r="A8">
        <v>13457605</v>
      </c>
      <c r="B8" t="s">
        <v>53</v>
      </c>
      <c r="C8" t="s">
        <v>54</v>
      </c>
      <c r="D8" s="1">
        <v>45286</v>
      </c>
      <c r="E8">
        <v>2202</v>
      </c>
      <c r="F8" t="s">
        <v>16</v>
      </c>
      <c r="G8" t="s">
        <v>55</v>
      </c>
      <c r="H8" t="s">
        <v>56</v>
      </c>
      <c r="I8" t="s">
        <v>27</v>
      </c>
      <c r="J8" t="s">
        <v>57</v>
      </c>
      <c r="K8">
        <v>0</v>
      </c>
      <c r="L8">
        <v>95</v>
      </c>
      <c r="M8" t="s">
        <v>58</v>
      </c>
      <c r="N8" t="s">
        <v>59</v>
      </c>
    </row>
    <row r="9" spans="1:14" x14ac:dyDescent="0.3">
      <c r="A9">
        <v>95389887</v>
      </c>
      <c r="B9" t="s">
        <v>60</v>
      </c>
      <c r="C9" t="s">
        <v>38</v>
      </c>
      <c r="D9" s="1">
        <v>45296</v>
      </c>
      <c r="E9">
        <v>17709</v>
      </c>
      <c r="F9" t="s">
        <v>61</v>
      </c>
      <c r="G9" t="s">
        <v>17</v>
      </c>
      <c r="H9" t="s">
        <v>62</v>
      </c>
      <c r="I9" t="s">
        <v>34</v>
      </c>
      <c r="J9" t="s">
        <v>35</v>
      </c>
      <c r="K9">
        <v>0</v>
      </c>
      <c r="L9">
        <v>56</v>
      </c>
      <c r="M9" t="s">
        <v>42</v>
      </c>
      <c r="N9" t="s">
        <v>63</v>
      </c>
    </row>
    <row r="10" spans="1:14" x14ac:dyDescent="0.3">
      <c r="A10">
        <v>66937046</v>
      </c>
      <c r="B10" t="s">
        <v>64</v>
      </c>
      <c r="C10" t="s">
        <v>24</v>
      </c>
      <c r="D10" s="1">
        <v>45605</v>
      </c>
      <c r="E10">
        <v>1613</v>
      </c>
      <c r="F10" t="s">
        <v>39</v>
      </c>
      <c r="G10" t="s">
        <v>25</v>
      </c>
      <c r="H10" t="s">
        <v>33</v>
      </c>
      <c r="I10" t="s">
        <v>19</v>
      </c>
      <c r="J10" t="s">
        <v>35</v>
      </c>
      <c r="K10">
        <v>1</v>
      </c>
      <c r="L10">
        <v>92</v>
      </c>
      <c r="M10" t="s">
        <v>65</v>
      </c>
      <c r="N10" t="s">
        <v>22</v>
      </c>
    </row>
    <row r="11" spans="1:14" x14ac:dyDescent="0.3">
      <c r="A11">
        <v>39375009</v>
      </c>
      <c r="B11" t="s">
        <v>66</v>
      </c>
      <c r="C11" t="s">
        <v>38</v>
      </c>
      <c r="D11" s="1">
        <v>45587</v>
      </c>
      <c r="E11">
        <v>21623</v>
      </c>
      <c r="F11" t="s">
        <v>39</v>
      </c>
      <c r="G11" t="s">
        <v>32</v>
      </c>
      <c r="H11" t="s">
        <v>51</v>
      </c>
      <c r="I11" t="s">
        <v>34</v>
      </c>
      <c r="J11" t="s">
        <v>57</v>
      </c>
      <c r="K11">
        <v>0</v>
      </c>
      <c r="L11">
        <v>66</v>
      </c>
      <c r="M11" t="s">
        <v>58</v>
      </c>
      <c r="N11" t="s">
        <v>46</v>
      </c>
    </row>
    <row r="12" spans="1:14" x14ac:dyDescent="0.3">
      <c r="A12">
        <v>26313417</v>
      </c>
      <c r="B12" t="s">
        <v>67</v>
      </c>
      <c r="C12" t="s">
        <v>38</v>
      </c>
      <c r="D12" s="1">
        <v>45573</v>
      </c>
      <c r="E12">
        <v>7180</v>
      </c>
      <c r="F12" t="s">
        <v>50</v>
      </c>
      <c r="G12" t="s">
        <v>32</v>
      </c>
      <c r="H12" t="s">
        <v>18</v>
      </c>
      <c r="I12" t="s">
        <v>34</v>
      </c>
      <c r="J12" t="s">
        <v>68</v>
      </c>
      <c r="K12">
        <v>0</v>
      </c>
      <c r="L12">
        <v>90</v>
      </c>
      <c r="M12" t="s">
        <v>58</v>
      </c>
      <c r="N12" t="s">
        <v>59</v>
      </c>
    </row>
    <row r="13" spans="1:14" x14ac:dyDescent="0.3">
      <c r="A13">
        <v>53768437</v>
      </c>
      <c r="B13" t="s">
        <v>69</v>
      </c>
      <c r="C13" t="s">
        <v>70</v>
      </c>
      <c r="D13" s="1">
        <v>45612</v>
      </c>
      <c r="E13">
        <v>1562</v>
      </c>
      <c r="F13" t="s">
        <v>39</v>
      </c>
      <c r="G13" t="s">
        <v>71</v>
      </c>
      <c r="H13" t="s">
        <v>40</v>
      </c>
      <c r="I13" t="s">
        <v>72</v>
      </c>
      <c r="J13" t="s">
        <v>57</v>
      </c>
      <c r="K13">
        <v>0</v>
      </c>
      <c r="L13">
        <v>46</v>
      </c>
      <c r="M13" t="s">
        <v>42</v>
      </c>
      <c r="N13" t="s">
        <v>73</v>
      </c>
    </row>
    <row r="14" spans="1:14" x14ac:dyDescent="0.3">
      <c r="A14">
        <v>49564502</v>
      </c>
      <c r="B14" t="s">
        <v>74</v>
      </c>
      <c r="C14" t="s">
        <v>75</v>
      </c>
      <c r="D14" s="1">
        <v>45631</v>
      </c>
      <c r="E14">
        <v>1521</v>
      </c>
      <c r="F14" t="s">
        <v>16</v>
      </c>
      <c r="G14" t="s">
        <v>32</v>
      </c>
      <c r="H14" t="s">
        <v>62</v>
      </c>
      <c r="I14" t="s">
        <v>34</v>
      </c>
      <c r="J14" t="s">
        <v>35</v>
      </c>
      <c r="K14">
        <v>1</v>
      </c>
      <c r="L14">
        <v>25</v>
      </c>
      <c r="M14" t="s">
        <v>65</v>
      </c>
      <c r="N14" t="s">
        <v>36</v>
      </c>
    </row>
    <row r="15" spans="1:14" x14ac:dyDescent="0.3">
      <c r="A15">
        <v>46575685</v>
      </c>
      <c r="B15" t="s">
        <v>76</v>
      </c>
      <c r="C15" t="s">
        <v>77</v>
      </c>
      <c r="D15" s="1">
        <v>45317</v>
      </c>
      <c r="E15">
        <v>18563</v>
      </c>
      <c r="F15" t="s">
        <v>39</v>
      </c>
      <c r="G15" t="s">
        <v>55</v>
      </c>
      <c r="H15" t="s">
        <v>46</v>
      </c>
      <c r="I15" t="s">
        <v>19</v>
      </c>
      <c r="J15" t="s">
        <v>20</v>
      </c>
      <c r="K15">
        <v>0</v>
      </c>
      <c r="L15">
        <v>19</v>
      </c>
      <c r="M15" t="s">
        <v>21</v>
      </c>
      <c r="N15" t="s">
        <v>22</v>
      </c>
    </row>
    <row r="16" spans="1:14" x14ac:dyDescent="0.3">
      <c r="A16">
        <v>85972172</v>
      </c>
      <c r="B16" t="s">
        <v>78</v>
      </c>
      <c r="C16" t="s">
        <v>77</v>
      </c>
      <c r="D16" s="1">
        <v>45441</v>
      </c>
      <c r="E16">
        <v>4486</v>
      </c>
      <c r="F16" t="s">
        <v>61</v>
      </c>
      <c r="G16" t="s">
        <v>32</v>
      </c>
      <c r="H16" t="s">
        <v>26</v>
      </c>
      <c r="I16" t="s">
        <v>34</v>
      </c>
      <c r="J16" t="s">
        <v>79</v>
      </c>
      <c r="K16">
        <v>1</v>
      </c>
      <c r="L16">
        <v>43</v>
      </c>
      <c r="M16" t="s">
        <v>42</v>
      </c>
      <c r="N16" t="s">
        <v>36</v>
      </c>
    </row>
    <row r="17" spans="1:14" x14ac:dyDescent="0.3">
      <c r="A17">
        <v>74522267</v>
      </c>
      <c r="B17" t="s">
        <v>80</v>
      </c>
      <c r="C17" t="s">
        <v>75</v>
      </c>
      <c r="D17" s="1">
        <v>45525</v>
      </c>
      <c r="E17">
        <v>11710</v>
      </c>
      <c r="F17" t="s">
        <v>16</v>
      </c>
      <c r="G17" t="s">
        <v>55</v>
      </c>
      <c r="H17" t="s">
        <v>81</v>
      </c>
      <c r="I17" t="s">
        <v>27</v>
      </c>
      <c r="J17" t="s">
        <v>68</v>
      </c>
      <c r="K17">
        <v>0</v>
      </c>
      <c r="L17">
        <v>76</v>
      </c>
      <c r="M17" t="s">
        <v>65</v>
      </c>
      <c r="N17" t="s">
        <v>46</v>
      </c>
    </row>
    <row r="18" spans="1:14" x14ac:dyDescent="0.3">
      <c r="A18">
        <v>26829430</v>
      </c>
      <c r="B18" t="s">
        <v>82</v>
      </c>
      <c r="C18" t="s">
        <v>45</v>
      </c>
      <c r="D18" s="1">
        <v>45556</v>
      </c>
      <c r="E18">
        <v>24725</v>
      </c>
      <c r="F18" t="s">
        <v>39</v>
      </c>
      <c r="G18" t="s">
        <v>17</v>
      </c>
      <c r="H18" t="s">
        <v>62</v>
      </c>
      <c r="I18" t="s">
        <v>27</v>
      </c>
      <c r="J18" t="s">
        <v>79</v>
      </c>
      <c r="K18">
        <v>0</v>
      </c>
      <c r="L18">
        <v>85</v>
      </c>
      <c r="M18" t="s">
        <v>21</v>
      </c>
      <c r="N18" t="s">
        <v>36</v>
      </c>
    </row>
    <row r="19" spans="1:14" x14ac:dyDescent="0.3">
      <c r="A19">
        <v>76910814</v>
      </c>
      <c r="B19" t="s">
        <v>83</v>
      </c>
      <c r="C19" t="s">
        <v>45</v>
      </c>
      <c r="D19" s="1">
        <v>45640</v>
      </c>
      <c r="E19">
        <v>3192</v>
      </c>
      <c r="F19" t="s">
        <v>16</v>
      </c>
      <c r="G19" t="s">
        <v>71</v>
      </c>
      <c r="H19" t="s">
        <v>40</v>
      </c>
      <c r="I19" t="s">
        <v>19</v>
      </c>
      <c r="J19" t="s">
        <v>57</v>
      </c>
      <c r="K19">
        <v>1</v>
      </c>
      <c r="L19">
        <v>31</v>
      </c>
      <c r="M19" t="s">
        <v>21</v>
      </c>
      <c r="N19" t="s">
        <v>43</v>
      </c>
    </row>
    <row r="20" spans="1:14" x14ac:dyDescent="0.3">
      <c r="A20">
        <v>37342915</v>
      </c>
      <c r="B20" t="s">
        <v>84</v>
      </c>
      <c r="C20" t="s">
        <v>15</v>
      </c>
      <c r="D20" s="1">
        <v>45456</v>
      </c>
      <c r="E20">
        <v>950</v>
      </c>
      <c r="F20" t="s">
        <v>39</v>
      </c>
      <c r="G20" t="s">
        <v>32</v>
      </c>
      <c r="H20" t="s">
        <v>33</v>
      </c>
      <c r="I20" t="s">
        <v>19</v>
      </c>
      <c r="J20" t="s">
        <v>85</v>
      </c>
      <c r="K20">
        <v>0</v>
      </c>
      <c r="L20">
        <v>88</v>
      </c>
      <c r="M20" t="s">
        <v>47</v>
      </c>
      <c r="N20" t="s">
        <v>63</v>
      </c>
    </row>
    <row r="21" spans="1:14" x14ac:dyDescent="0.3">
      <c r="A21">
        <v>70649904</v>
      </c>
      <c r="B21" t="s">
        <v>86</v>
      </c>
      <c r="C21" t="s">
        <v>70</v>
      </c>
      <c r="D21" s="1">
        <v>45285</v>
      </c>
      <c r="E21">
        <v>7021</v>
      </c>
      <c r="F21" t="s">
        <v>39</v>
      </c>
      <c r="G21" t="s">
        <v>25</v>
      </c>
      <c r="H21" t="s">
        <v>26</v>
      </c>
      <c r="I21" t="s">
        <v>27</v>
      </c>
      <c r="J21" t="s">
        <v>28</v>
      </c>
      <c r="K21">
        <v>1</v>
      </c>
      <c r="L21">
        <v>42</v>
      </c>
      <c r="M21" t="s">
        <v>47</v>
      </c>
      <c r="N21" t="s">
        <v>87</v>
      </c>
    </row>
    <row r="22" spans="1:14" x14ac:dyDescent="0.3">
      <c r="A22">
        <v>80346732</v>
      </c>
      <c r="B22" t="s">
        <v>88</v>
      </c>
      <c r="C22" t="s">
        <v>77</v>
      </c>
      <c r="D22" s="1">
        <v>45527</v>
      </c>
      <c r="E22">
        <v>7932</v>
      </c>
      <c r="F22" t="s">
        <v>61</v>
      </c>
      <c r="G22" t="s">
        <v>32</v>
      </c>
      <c r="H22" t="s">
        <v>26</v>
      </c>
      <c r="I22" t="s">
        <v>72</v>
      </c>
      <c r="J22" t="s">
        <v>57</v>
      </c>
      <c r="K22">
        <v>1</v>
      </c>
      <c r="L22">
        <v>39</v>
      </c>
      <c r="M22" t="s">
        <v>47</v>
      </c>
      <c r="N22" t="s">
        <v>89</v>
      </c>
    </row>
    <row r="23" spans="1:14" x14ac:dyDescent="0.3">
      <c r="A23">
        <v>39217230</v>
      </c>
      <c r="B23" t="s">
        <v>90</v>
      </c>
      <c r="C23" t="s">
        <v>15</v>
      </c>
      <c r="D23" s="1">
        <v>45580</v>
      </c>
      <c r="E23">
        <v>7249</v>
      </c>
      <c r="F23" t="s">
        <v>39</v>
      </c>
      <c r="G23" t="s">
        <v>25</v>
      </c>
      <c r="H23" t="s">
        <v>40</v>
      </c>
      <c r="I23" t="s">
        <v>34</v>
      </c>
      <c r="J23" t="s">
        <v>28</v>
      </c>
      <c r="K23">
        <v>0</v>
      </c>
      <c r="L23">
        <v>41</v>
      </c>
      <c r="M23" t="s">
        <v>58</v>
      </c>
      <c r="N23" t="s">
        <v>46</v>
      </c>
    </row>
    <row r="24" spans="1:14" x14ac:dyDescent="0.3">
      <c r="A24">
        <v>29894081</v>
      </c>
      <c r="B24" t="s">
        <v>91</v>
      </c>
      <c r="C24" t="s">
        <v>77</v>
      </c>
      <c r="D24" s="1">
        <v>45573</v>
      </c>
      <c r="E24">
        <v>12194</v>
      </c>
      <c r="F24" t="s">
        <v>61</v>
      </c>
      <c r="G24" t="s">
        <v>32</v>
      </c>
      <c r="H24" t="s">
        <v>62</v>
      </c>
      <c r="I24" t="s">
        <v>34</v>
      </c>
      <c r="J24" t="s">
        <v>20</v>
      </c>
      <c r="K24">
        <v>1</v>
      </c>
      <c r="L24">
        <v>37</v>
      </c>
      <c r="M24" t="s">
        <v>47</v>
      </c>
      <c r="N24" t="s">
        <v>89</v>
      </c>
    </row>
    <row r="25" spans="1:14" x14ac:dyDescent="0.3">
      <c r="A25">
        <v>41533703</v>
      </c>
      <c r="B25" t="s">
        <v>92</v>
      </c>
      <c r="C25" t="s">
        <v>24</v>
      </c>
      <c r="D25" s="1">
        <v>45483</v>
      </c>
      <c r="E25">
        <v>24114</v>
      </c>
      <c r="F25" t="s">
        <v>16</v>
      </c>
      <c r="G25" t="s">
        <v>17</v>
      </c>
      <c r="H25" t="s">
        <v>26</v>
      </c>
      <c r="I25" t="s">
        <v>27</v>
      </c>
      <c r="J25" t="s">
        <v>28</v>
      </c>
      <c r="K25">
        <v>0</v>
      </c>
      <c r="L25">
        <v>67</v>
      </c>
      <c r="M25" t="s">
        <v>65</v>
      </c>
      <c r="N25" t="s">
        <v>59</v>
      </c>
    </row>
    <row r="26" spans="1:14" x14ac:dyDescent="0.3">
      <c r="A26">
        <v>50613866</v>
      </c>
      <c r="B26" t="s">
        <v>93</v>
      </c>
      <c r="C26" t="s">
        <v>75</v>
      </c>
      <c r="D26" s="1">
        <v>45545</v>
      </c>
      <c r="E26">
        <v>2983</v>
      </c>
      <c r="F26" t="s">
        <v>50</v>
      </c>
      <c r="G26" t="s">
        <v>32</v>
      </c>
      <c r="H26" t="s">
        <v>62</v>
      </c>
      <c r="I26" t="s">
        <v>72</v>
      </c>
      <c r="J26" t="s">
        <v>57</v>
      </c>
      <c r="K26">
        <v>1</v>
      </c>
      <c r="L26">
        <v>85</v>
      </c>
      <c r="M26" t="s">
        <v>47</v>
      </c>
      <c r="N26" t="s">
        <v>43</v>
      </c>
    </row>
    <row r="27" spans="1:14" x14ac:dyDescent="0.3">
      <c r="A27">
        <v>74550146</v>
      </c>
      <c r="B27" t="s">
        <v>94</v>
      </c>
      <c r="C27" t="s">
        <v>70</v>
      </c>
      <c r="D27" s="1">
        <v>45296</v>
      </c>
      <c r="E27">
        <v>9673</v>
      </c>
      <c r="F27" t="s">
        <v>39</v>
      </c>
      <c r="G27" t="s">
        <v>55</v>
      </c>
      <c r="H27" t="s">
        <v>81</v>
      </c>
      <c r="I27" t="s">
        <v>34</v>
      </c>
      <c r="J27" t="s">
        <v>57</v>
      </c>
      <c r="K27">
        <v>0</v>
      </c>
      <c r="L27">
        <v>91</v>
      </c>
      <c r="M27" t="s">
        <v>65</v>
      </c>
      <c r="N27" t="s">
        <v>87</v>
      </c>
    </row>
    <row r="28" spans="1:14" x14ac:dyDescent="0.3">
      <c r="A28">
        <v>99502840</v>
      </c>
      <c r="B28" t="s">
        <v>95</v>
      </c>
      <c r="C28" t="s">
        <v>38</v>
      </c>
      <c r="D28" s="1">
        <v>45498</v>
      </c>
      <c r="E28">
        <v>8158</v>
      </c>
      <c r="F28" t="s">
        <v>61</v>
      </c>
      <c r="G28" t="s">
        <v>71</v>
      </c>
      <c r="H28" t="s">
        <v>62</v>
      </c>
      <c r="I28" t="s">
        <v>34</v>
      </c>
      <c r="J28" t="s">
        <v>68</v>
      </c>
      <c r="K28">
        <v>0</v>
      </c>
      <c r="L28">
        <v>24</v>
      </c>
      <c r="M28" t="s">
        <v>42</v>
      </c>
      <c r="N28" t="s">
        <v>43</v>
      </c>
    </row>
    <row r="29" spans="1:14" x14ac:dyDescent="0.3">
      <c r="A29">
        <v>27654485</v>
      </c>
      <c r="B29" t="s">
        <v>96</v>
      </c>
      <c r="C29" t="s">
        <v>38</v>
      </c>
      <c r="D29" s="1">
        <v>45492</v>
      </c>
      <c r="E29">
        <v>2375</v>
      </c>
      <c r="F29" t="s">
        <v>61</v>
      </c>
      <c r="G29" t="s">
        <v>17</v>
      </c>
      <c r="H29" t="s">
        <v>26</v>
      </c>
      <c r="I29" t="s">
        <v>27</v>
      </c>
      <c r="J29" t="s">
        <v>35</v>
      </c>
      <c r="K29">
        <v>0</v>
      </c>
      <c r="L29">
        <v>83</v>
      </c>
      <c r="M29" t="s">
        <v>21</v>
      </c>
      <c r="N29" t="s">
        <v>43</v>
      </c>
    </row>
    <row r="30" spans="1:14" x14ac:dyDescent="0.3">
      <c r="A30">
        <v>73074171</v>
      </c>
      <c r="B30" t="s">
        <v>97</v>
      </c>
      <c r="C30" t="s">
        <v>24</v>
      </c>
      <c r="D30" s="1">
        <v>45504</v>
      </c>
      <c r="E30">
        <v>10950</v>
      </c>
      <c r="F30" t="s">
        <v>16</v>
      </c>
      <c r="G30" t="s">
        <v>71</v>
      </c>
      <c r="H30" t="s">
        <v>81</v>
      </c>
      <c r="I30" t="s">
        <v>34</v>
      </c>
      <c r="J30" t="s">
        <v>35</v>
      </c>
      <c r="K30">
        <v>0</v>
      </c>
      <c r="L30">
        <v>81</v>
      </c>
      <c r="M30" t="s">
        <v>58</v>
      </c>
      <c r="N30" t="s">
        <v>46</v>
      </c>
    </row>
    <row r="31" spans="1:14" x14ac:dyDescent="0.3">
      <c r="A31">
        <v>93774582</v>
      </c>
      <c r="B31" t="s">
        <v>98</v>
      </c>
      <c r="C31" t="s">
        <v>15</v>
      </c>
      <c r="D31" s="1">
        <v>45576</v>
      </c>
      <c r="E31">
        <v>6527</v>
      </c>
      <c r="F31" t="s">
        <v>39</v>
      </c>
      <c r="G31" t="s">
        <v>71</v>
      </c>
      <c r="H31" t="s">
        <v>46</v>
      </c>
      <c r="I31" t="s">
        <v>72</v>
      </c>
      <c r="J31" t="s">
        <v>41</v>
      </c>
      <c r="K31">
        <v>0</v>
      </c>
      <c r="L31">
        <v>90</v>
      </c>
      <c r="M31" t="s">
        <v>65</v>
      </c>
      <c r="N31" t="s">
        <v>59</v>
      </c>
    </row>
    <row r="32" spans="1:14" x14ac:dyDescent="0.3">
      <c r="A32">
        <v>46788591</v>
      </c>
      <c r="B32" t="s">
        <v>99</v>
      </c>
      <c r="C32" t="s">
        <v>38</v>
      </c>
      <c r="D32" s="1">
        <v>45410</v>
      </c>
      <c r="E32">
        <v>9549</v>
      </c>
      <c r="F32" t="s">
        <v>16</v>
      </c>
      <c r="G32" t="s">
        <v>32</v>
      </c>
      <c r="H32" t="s">
        <v>40</v>
      </c>
      <c r="I32" t="s">
        <v>72</v>
      </c>
      <c r="J32" t="s">
        <v>35</v>
      </c>
      <c r="K32">
        <v>0</v>
      </c>
      <c r="L32">
        <v>88</v>
      </c>
      <c r="M32" t="s">
        <v>29</v>
      </c>
      <c r="N32" t="s">
        <v>48</v>
      </c>
    </row>
    <row r="33" spans="1:14" x14ac:dyDescent="0.3">
      <c r="A33">
        <v>27824277</v>
      </c>
      <c r="B33" t="s">
        <v>100</v>
      </c>
      <c r="C33" t="s">
        <v>101</v>
      </c>
      <c r="D33" s="1">
        <v>45588</v>
      </c>
      <c r="E33">
        <v>5461</v>
      </c>
      <c r="F33" t="s">
        <v>16</v>
      </c>
      <c r="G33" t="s">
        <v>17</v>
      </c>
      <c r="H33" t="s">
        <v>46</v>
      </c>
      <c r="I33" t="s">
        <v>19</v>
      </c>
      <c r="J33" t="s">
        <v>85</v>
      </c>
      <c r="K33">
        <v>0</v>
      </c>
      <c r="L33">
        <v>48</v>
      </c>
      <c r="M33" t="s">
        <v>21</v>
      </c>
      <c r="N33" t="s">
        <v>59</v>
      </c>
    </row>
    <row r="34" spans="1:14" x14ac:dyDescent="0.3">
      <c r="A34">
        <v>16938100</v>
      </c>
      <c r="B34" t="s">
        <v>102</v>
      </c>
      <c r="C34" t="s">
        <v>15</v>
      </c>
      <c r="D34" s="1">
        <v>45302</v>
      </c>
      <c r="E34">
        <v>24489</v>
      </c>
      <c r="F34" t="s">
        <v>39</v>
      </c>
      <c r="G34" t="s">
        <v>71</v>
      </c>
      <c r="H34" t="s">
        <v>103</v>
      </c>
      <c r="I34" t="s">
        <v>19</v>
      </c>
      <c r="J34" t="s">
        <v>41</v>
      </c>
      <c r="K34">
        <v>1</v>
      </c>
      <c r="L34">
        <v>29</v>
      </c>
      <c r="M34" t="s">
        <v>21</v>
      </c>
      <c r="N34" t="s">
        <v>22</v>
      </c>
    </row>
    <row r="35" spans="1:14" x14ac:dyDescent="0.3">
      <c r="A35">
        <v>66943130</v>
      </c>
      <c r="B35" t="s">
        <v>104</v>
      </c>
      <c r="C35" t="s">
        <v>38</v>
      </c>
      <c r="D35" s="1">
        <v>45567</v>
      </c>
      <c r="E35">
        <v>24680</v>
      </c>
      <c r="F35" t="s">
        <v>39</v>
      </c>
      <c r="G35" t="s">
        <v>71</v>
      </c>
      <c r="H35" t="s">
        <v>26</v>
      </c>
      <c r="I35" t="s">
        <v>72</v>
      </c>
      <c r="J35" t="s">
        <v>28</v>
      </c>
      <c r="K35">
        <v>0</v>
      </c>
      <c r="L35">
        <v>80</v>
      </c>
      <c r="M35" t="s">
        <v>65</v>
      </c>
      <c r="N35" t="s">
        <v>46</v>
      </c>
    </row>
    <row r="36" spans="1:14" x14ac:dyDescent="0.3">
      <c r="A36">
        <v>68375255</v>
      </c>
      <c r="B36" t="s">
        <v>105</v>
      </c>
      <c r="C36" t="s">
        <v>31</v>
      </c>
      <c r="D36" s="1">
        <v>45337</v>
      </c>
      <c r="E36">
        <v>24578</v>
      </c>
      <c r="F36" t="s">
        <v>39</v>
      </c>
      <c r="G36" t="s">
        <v>17</v>
      </c>
      <c r="H36" t="s">
        <v>103</v>
      </c>
      <c r="I36" t="s">
        <v>34</v>
      </c>
      <c r="J36" t="s">
        <v>41</v>
      </c>
      <c r="K36">
        <v>0</v>
      </c>
      <c r="L36">
        <v>35</v>
      </c>
      <c r="M36" t="s">
        <v>42</v>
      </c>
      <c r="N36" t="s">
        <v>46</v>
      </c>
    </row>
    <row r="37" spans="1:14" x14ac:dyDescent="0.3">
      <c r="A37">
        <v>50941021</v>
      </c>
      <c r="B37" t="s">
        <v>106</v>
      </c>
      <c r="C37" t="s">
        <v>70</v>
      </c>
      <c r="D37" s="1">
        <v>45638</v>
      </c>
      <c r="E37">
        <v>11195</v>
      </c>
      <c r="F37" t="s">
        <v>16</v>
      </c>
      <c r="G37" t="s">
        <v>55</v>
      </c>
      <c r="H37" t="s">
        <v>56</v>
      </c>
      <c r="I37" t="s">
        <v>72</v>
      </c>
      <c r="J37" t="s">
        <v>52</v>
      </c>
      <c r="K37">
        <v>1</v>
      </c>
      <c r="L37">
        <v>67</v>
      </c>
      <c r="M37" t="s">
        <v>29</v>
      </c>
      <c r="N37" t="s">
        <v>36</v>
      </c>
    </row>
    <row r="38" spans="1:14" x14ac:dyDescent="0.3">
      <c r="A38">
        <v>60606372</v>
      </c>
      <c r="B38" t="s">
        <v>107</v>
      </c>
      <c r="C38" t="s">
        <v>54</v>
      </c>
      <c r="D38" s="1">
        <v>45500</v>
      </c>
      <c r="E38">
        <v>1714</v>
      </c>
      <c r="F38" t="s">
        <v>16</v>
      </c>
      <c r="G38" t="s">
        <v>55</v>
      </c>
      <c r="H38" t="s">
        <v>56</v>
      </c>
      <c r="I38" t="s">
        <v>34</v>
      </c>
      <c r="J38" t="s">
        <v>52</v>
      </c>
      <c r="K38">
        <v>1</v>
      </c>
      <c r="L38">
        <v>71</v>
      </c>
      <c r="M38" t="s">
        <v>47</v>
      </c>
      <c r="N38" t="s">
        <v>48</v>
      </c>
    </row>
    <row r="39" spans="1:14" x14ac:dyDescent="0.3">
      <c r="A39">
        <v>32201823</v>
      </c>
      <c r="B39" t="s">
        <v>108</v>
      </c>
      <c r="C39" t="s">
        <v>54</v>
      </c>
      <c r="D39" s="1">
        <v>45610</v>
      </c>
      <c r="E39">
        <v>14207</v>
      </c>
      <c r="F39" t="s">
        <v>39</v>
      </c>
      <c r="G39" t="s">
        <v>71</v>
      </c>
      <c r="H39" t="s">
        <v>18</v>
      </c>
      <c r="I39" t="s">
        <v>72</v>
      </c>
      <c r="J39" t="s">
        <v>41</v>
      </c>
      <c r="K39">
        <v>0</v>
      </c>
      <c r="L39">
        <v>21</v>
      </c>
      <c r="M39" t="s">
        <v>21</v>
      </c>
      <c r="N39" t="s">
        <v>43</v>
      </c>
    </row>
    <row r="40" spans="1:14" x14ac:dyDescent="0.3">
      <c r="A40">
        <v>53667574</v>
      </c>
      <c r="B40" t="s">
        <v>109</v>
      </c>
      <c r="C40" t="s">
        <v>24</v>
      </c>
      <c r="D40" s="1">
        <v>45390</v>
      </c>
      <c r="E40">
        <v>9803</v>
      </c>
      <c r="F40" t="s">
        <v>39</v>
      </c>
      <c r="G40" t="s">
        <v>17</v>
      </c>
      <c r="H40" t="s">
        <v>56</v>
      </c>
      <c r="I40" t="s">
        <v>72</v>
      </c>
      <c r="J40" t="s">
        <v>57</v>
      </c>
      <c r="K40">
        <v>0</v>
      </c>
      <c r="L40">
        <v>90</v>
      </c>
      <c r="M40" t="s">
        <v>47</v>
      </c>
      <c r="N40" t="s">
        <v>87</v>
      </c>
    </row>
    <row r="41" spans="1:14" x14ac:dyDescent="0.3">
      <c r="A41">
        <v>80084680</v>
      </c>
      <c r="B41" t="s">
        <v>110</v>
      </c>
      <c r="C41" t="s">
        <v>70</v>
      </c>
      <c r="D41" s="1">
        <v>45629</v>
      </c>
      <c r="E41">
        <v>17897</v>
      </c>
      <c r="F41" t="s">
        <v>16</v>
      </c>
      <c r="G41" t="s">
        <v>55</v>
      </c>
      <c r="H41" t="s">
        <v>46</v>
      </c>
      <c r="I41" t="s">
        <v>27</v>
      </c>
      <c r="J41" t="s">
        <v>68</v>
      </c>
      <c r="K41">
        <v>0</v>
      </c>
      <c r="L41">
        <v>49</v>
      </c>
      <c r="M41" t="s">
        <v>42</v>
      </c>
      <c r="N41" t="s">
        <v>87</v>
      </c>
    </row>
    <row r="42" spans="1:14" x14ac:dyDescent="0.3">
      <c r="A42">
        <v>18010953</v>
      </c>
      <c r="B42" t="s">
        <v>111</v>
      </c>
      <c r="C42" t="s">
        <v>77</v>
      </c>
      <c r="D42" s="1">
        <v>45310</v>
      </c>
      <c r="E42">
        <v>22366</v>
      </c>
      <c r="F42" t="s">
        <v>16</v>
      </c>
      <c r="G42" t="s">
        <v>32</v>
      </c>
      <c r="H42" t="s">
        <v>56</v>
      </c>
      <c r="I42" t="s">
        <v>72</v>
      </c>
      <c r="J42" t="s">
        <v>68</v>
      </c>
      <c r="K42">
        <v>1</v>
      </c>
      <c r="L42">
        <v>45</v>
      </c>
      <c r="M42" t="s">
        <v>29</v>
      </c>
      <c r="N42" t="s">
        <v>73</v>
      </c>
    </row>
    <row r="43" spans="1:14" x14ac:dyDescent="0.3">
      <c r="A43">
        <v>39335891</v>
      </c>
      <c r="B43" t="s">
        <v>112</v>
      </c>
      <c r="C43" t="s">
        <v>54</v>
      </c>
      <c r="D43" s="1">
        <v>45519</v>
      </c>
      <c r="E43">
        <v>4064</v>
      </c>
      <c r="F43" t="s">
        <v>16</v>
      </c>
      <c r="G43" t="s">
        <v>25</v>
      </c>
      <c r="H43" t="s">
        <v>26</v>
      </c>
      <c r="I43" t="s">
        <v>19</v>
      </c>
      <c r="J43" t="s">
        <v>41</v>
      </c>
      <c r="K43">
        <v>0</v>
      </c>
      <c r="L43">
        <v>30</v>
      </c>
      <c r="M43" t="s">
        <v>29</v>
      </c>
      <c r="N43" t="s">
        <v>36</v>
      </c>
    </row>
    <row r="44" spans="1:14" x14ac:dyDescent="0.3">
      <c r="A44">
        <v>83700642</v>
      </c>
      <c r="B44" t="s">
        <v>113</v>
      </c>
      <c r="C44" t="s">
        <v>15</v>
      </c>
      <c r="D44" s="1">
        <v>45506</v>
      </c>
      <c r="E44">
        <v>10336</v>
      </c>
      <c r="F44" t="s">
        <v>50</v>
      </c>
      <c r="G44" t="s">
        <v>17</v>
      </c>
      <c r="H44" t="s">
        <v>51</v>
      </c>
      <c r="I44" t="s">
        <v>27</v>
      </c>
      <c r="J44" t="s">
        <v>79</v>
      </c>
      <c r="K44">
        <v>0</v>
      </c>
      <c r="L44">
        <v>29</v>
      </c>
      <c r="M44" t="s">
        <v>47</v>
      </c>
      <c r="N44" t="s">
        <v>73</v>
      </c>
    </row>
    <row r="45" spans="1:14" x14ac:dyDescent="0.3">
      <c r="A45">
        <v>54662150</v>
      </c>
      <c r="B45" t="s">
        <v>114</v>
      </c>
      <c r="C45" t="s">
        <v>101</v>
      </c>
      <c r="D45" s="1">
        <v>45488</v>
      </c>
      <c r="E45">
        <v>1569</v>
      </c>
      <c r="F45" t="s">
        <v>16</v>
      </c>
      <c r="G45" t="s">
        <v>71</v>
      </c>
      <c r="H45" t="s">
        <v>81</v>
      </c>
      <c r="I45" t="s">
        <v>19</v>
      </c>
      <c r="J45" t="s">
        <v>20</v>
      </c>
      <c r="K45">
        <v>0</v>
      </c>
      <c r="L45">
        <v>70</v>
      </c>
      <c r="M45" t="s">
        <v>21</v>
      </c>
      <c r="N45" t="s">
        <v>48</v>
      </c>
    </row>
    <row r="46" spans="1:14" x14ac:dyDescent="0.3">
      <c r="A46">
        <v>45082504</v>
      </c>
      <c r="B46" t="s">
        <v>115</v>
      </c>
      <c r="C46" t="s">
        <v>45</v>
      </c>
      <c r="D46" s="1">
        <v>45335</v>
      </c>
      <c r="E46">
        <v>23775</v>
      </c>
      <c r="F46" t="s">
        <v>16</v>
      </c>
      <c r="G46" t="s">
        <v>71</v>
      </c>
      <c r="H46" t="s">
        <v>62</v>
      </c>
      <c r="I46" t="s">
        <v>19</v>
      </c>
      <c r="J46" t="s">
        <v>68</v>
      </c>
      <c r="K46">
        <v>0</v>
      </c>
      <c r="L46">
        <v>64</v>
      </c>
      <c r="M46" t="s">
        <v>29</v>
      </c>
      <c r="N46" t="s">
        <v>59</v>
      </c>
    </row>
    <row r="47" spans="1:14" x14ac:dyDescent="0.3">
      <c r="A47">
        <v>54121424</v>
      </c>
      <c r="B47" t="s">
        <v>116</v>
      </c>
      <c r="C47" t="s">
        <v>24</v>
      </c>
      <c r="D47" s="1">
        <v>45540</v>
      </c>
      <c r="E47">
        <v>6711</v>
      </c>
      <c r="F47" t="s">
        <v>61</v>
      </c>
      <c r="G47" t="s">
        <v>71</v>
      </c>
      <c r="H47" t="s">
        <v>18</v>
      </c>
      <c r="I47" t="s">
        <v>19</v>
      </c>
      <c r="J47" t="s">
        <v>85</v>
      </c>
      <c r="K47">
        <v>0</v>
      </c>
      <c r="L47">
        <v>80</v>
      </c>
      <c r="M47" t="s">
        <v>29</v>
      </c>
      <c r="N47" t="s">
        <v>89</v>
      </c>
    </row>
    <row r="48" spans="1:14" x14ac:dyDescent="0.3">
      <c r="A48">
        <v>72144690</v>
      </c>
      <c r="B48" t="s">
        <v>117</v>
      </c>
      <c r="C48" t="s">
        <v>70</v>
      </c>
      <c r="D48" s="1">
        <v>45317</v>
      </c>
      <c r="E48">
        <v>16974</v>
      </c>
      <c r="F48" t="s">
        <v>39</v>
      </c>
      <c r="G48" t="s">
        <v>32</v>
      </c>
      <c r="H48" t="s">
        <v>46</v>
      </c>
      <c r="I48" t="s">
        <v>27</v>
      </c>
      <c r="J48" t="s">
        <v>85</v>
      </c>
      <c r="K48">
        <v>0</v>
      </c>
      <c r="L48">
        <v>50</v>
      </c>
      <c r="M48" t="s">
        <v>65</v>
      </c>
      <c r="N48" t="s">
        <v>87</v>
      </c>
    </row>
    <row r="49" spans="1:14" x14ac:dyDescent="0.3">
      <c r="A49">
        <v>52166999</v>
      </c>
      <c r="B49" t="s">
        <v>118</v>
      </c>
      <c r="C49" t="s">
        <v>38</v>
      </c>
      <c r="D49" s="1">
        <v>45481</v>
      </c>
      <c r="E49">
        <v>14653</v>
      </c>
      <c r="F49" t="s">
        <v>61</v>
      </c>
      <c r="G49" t="s">
        <v>25</v>
      </c>
      <c r="H49" t="s">
        <v>26</v>
      </c>
      <c r="I49" t="s">
        <v>72</v>
      </c>
      <c r="J49" t="s">
        <v>28</v>
      </c>
      <c r="K49">
        <v>0</v>
      </c>
      <c r="L49">
        <v>45</v>
      </c>
      <c r="M49" t="s">
        <v>21</v>
      </c>
      <c r="N49" t="s">
        <v>87</v>
      </c>
    </row>
    <row r="50" spans="1:14" x14ac:dyDescent="0.3">
      <c r="A50">
        <v>50032908</v>
      </c>
      <c r="B50" t="s">
        <v>119</v>
      </c>
      <c r="C50" t="s">
        <v>38</v>
      </c>
      <c r="D50" s="1">
        <v>45290</v>
      </c>
      <c r="E50">
        <v>9248</v>
      </c>
      <c r="F50" t="s">
        <v>16</v>
      </c>
      <c r="G50" t="s">
        <v>17</v>
      </c>
      <c r="H50" t="s">
        <v>56</v>
      </c>
      <c r="I50" t="s">
        <v>34</v>
      </c>
      <c r="J50" t="s">
        <v>41</v>
      </c>
      <c r="K50">
        <v>0</v>
      </c>
      <c r="L50">
        <v>32</v>
      </c>
      <c r="M50" t="s">
        <v>47</v>
      </c>
      <c r="N50" t="s">
        <v>89</v>
      </c>
    </row>
    <row r="51" spans="1:14" x14ac:dyDescent="0.3">
      <c r="A51">
        <v>81281786</v>
      </c>
      <c r="B51" t="s">
        <v>120</v>
      </c>
      <c r="C51" t="s">
        <v>24</v>
      </c>
      <c r="D51" s="1">
        <v>45396</v>
      </c>
      <c r="E51">
        <v>23122</v>
      </c>
      <c r="F51" t="s">
        <v>39</v>
      </c>
      <c r="G51" t="s">
        <v>32</v>
      </c>
      <c r="H51" t="s">
        <v>56</v>
      </c>
      <c r="I51" t="s">
        <v>34</v>
      </c>
      <c r="J51" t="s">
        <v>41</v>
      </c>
      <c r="K51">
        <v>0</v>
      </c>
      <c r="L51">
        <v>94</v>
      </c>
      <c r="M51" t="s">
        <v>42</v>
      </c>
      <c r="N51" t="s">
        <v>46</v>
      </c>
    </row>
    <row r="52" spans="1:14" x14ac:dyDescent="0.3">
      <c r="A52">
        <v>83454657</v>
      </c>
      <c r="B52" t="s">
        <v>121</v>
      </c>
      <c r="C52" t="s">
        <v>54</v>
      </c>
      <c r="D52" s="1">
        <v>45594</v>
      </c>
      <c r="E52">
        <v>842</v>
      </c>
      <c r="F52" t="s">
        <v>16</v>
      </c>
      <c r="G52" t="s">
        <v>32</v>
      </c>
      <c r="H52" t="s">
        <v>56</v>
      </c>
      <c r="I52" t="s">
        <v>72</v>
      </c>
      <c r="J52" t="s">
        <v>57</v>
      </c>
      <c r="K52">
        <v>0</v>
      </c>
      <c r="L52">
        <v>26</v>
      </c>
      <c r="M52" t="s">
        <v>47</v>
      </c>
      <c r="N52" t="s">
        <v>48</v>
      </c>
    </row>
    <row r="53" spans="1:14" x14ac:dyDescent="0.3">
      <c r="A53">
        <v>17097793</v>
      </c>
      <c r="B53" t="s">
        <v>122</v>
      </c>
      <c r="C53" t="s">
        <v>24</v>
      </c>
      <c r="D53" s="1">
        <v>45609</v>
      </c>
      <c r="E53">
        <v>5546</v>
      </c>
      <c r="F53" t="s">
        <v>61</v>
      </c>
      <c r="G53" t="s">
        <v>71</v>
      </c>
      <c r="H53" t="s">
        <v>18</v>
      </c>
      <c r="I53" t="s">
        <v>19</v>
      </c>
      <c r="J53" t="s">
        <v>85</v>
      </c>
      <c r="K53">
        <v>0</v>
      </c>
      <c r="L53">
        <v>91</v>
      </c>
      <c r="M53" t="s">
        <v>58</v>
      </c>
      <c r="N53" t="s">
        <v>87</v>
      </c>
    </row>
    <row r="54" spans="1:14" x14ac:dyDescent="0.3">
      <c r="A54">
        <v>34894049</v>
      </c>
      <c r="B54" t="s">
        <v>123</v>
      </c>
      <c r="C54" t="s">
        <v>38</v>
      </c>
      <c r="D54" s="1">
        <v>45293</v>
      </c>
      <c r="E54">
        <v>16758</v>
      </c>
      <c r="F54" t="s">
        <v>39</v>
      </c>
      <c r="G54" t="s">
        <v>17</v>
      </c>
      <c r="H54" t="s">
        <v>46</v>
      </c>
      <c r="I54" t="s">
        <v>72</v>
      </c>
      <c r="J54" t="s">
        <v>35</v>
      </c>
      <c r="K54">
        <v>0</v>
      </c>
      <c r="L54">
        <v>50</v>
      </c>
      <c r="M54" t="s">
        <v>42</v>
      </c>
      <c r="N54" t="s">
        <v>46</v>
      </c>
    </row>
    <row r="55" spans="1:14" x14ac:dyDescent="0.3">
      <c r="A55">
        <v>84776733</v>
      </c>
      <c r="B55" t="s">
        <v>124</v>
      </c>
      <c r="C55" t="s">
        <v>75</v>
      </c>
      <c r="D55" s="1">
        <v>45551</v>
      </c>
      <c r="E55">
        <v>4351</v>
      </c>
      <c r="F55" t="s">
        <v>61</v>
      </c>
      <c r="G55" t="s">
        <v>17</v>
      </c>
      <c r="H55" t="s">
        <v>81</v>
      </c>
      <c r="I55" t="s">
        <v>19</v>
      </c>
      <c r="J55" t="s">
        <v>68</v>
      </c>
      <c r="K55">
        <v>1</v>
      </c>
      <c r="L55">
        <v>70</v>
      </c>
      <c r="M55" t="s">
        <v>58</v>
      </c>
      <c r="N55" t="s">
        <v>63</v>
      </c>
    </row>
    <row r="56" spans="1:14" x14ac:dyDescent="0.3">
      <c r="A56">
        <v>92240744</v>
      </c>
      <c r="B56" t="s">
        <v>125</v>
      </c>
      <c r="C56" t="s">
        <v>45</v>
      </c>
      <c r="D56" s="1">
        <v>45448</v>
      </c>
      <c r="E56">
        <v>16904</v>
      </c>
      <c r="F56" t="s">
        <v>61</v>
      </c>
      <c r="G56" t="s">
        <v>32</v>
      </c>
      <c r="H56" t="s">
        <v>103</v>
      </c>
      <c r="I56" t="s">
        <v>72</v>
      </c>
      <c r="J56" t="s">
        <v>52</v>
      </c>
      <c r="K56">
        <v>1</v>
      </c>
      <c r="L56">
        <v>10</v>
      </c>
      <c r="M56" t="s">
        <v>47</v>
      </c>
      <c r="N56" t="s">
        <v>87</v>
      </c>
    </row>
    <row r="57" spans="1:14" x14ac:dyDescent="0.3">
      <c r="A57">
        <v>67571367</v>
      </c>
      <c r="B57" t="s">
        <v>126</v>
      </c>
      <c r="C57" t="s">
        <v>38</v>
      </c>
      <c r="D57" s="1">
        <v>45373</v>
      </c>
      <c r="E57">
        <v>19397</v>
      </c>
      <c r="F57" t="s">
        <v>39</v>
      </c>
      <c r="G57" t="s">
        <v>32</v>
      </c>
      <c r="H57" t="s">
        <v>40</v>
      </c>
      <c r="I57" t="s">
        <v>72</v>
      </c>
      <c r="J57" t="s">
        <v>41</v>
      </c>
      <c r="K57">
        <v>1</v>
      </c>
      <c r="L57">
        <v>13</v>
      </c>
      <c r="M57" t="s">
        <v>21</v>
      </c>
      <c r="N57" t="s">
        <v>43</v>
      </c>
    </row>
    <row r="58" spans="1:14" x14ac:dyDescent="0.3">
      <c r="A58">
        <v>53817550</v>
      </c>
      <c r="B58" t="s">
        <v>127</v>
      </c>
      <c r="C58" t="s">
        <v>45</v>
      </c>
      <c r="D58" s="1">
        <v>45437</v>
      </c>
      <c r="E58">
        <v>16870</v>
      </c>
      <c r="F58" t="s">
        <v>50</v>
      </c>
      <c r="G58" t="s">
        <v>71</v>
      </c>
      <c r="H58" t="s">
        <v>33</v>
      </c>
      <c r="I58" t="s">
        <v>19</v>
      </c>
      <c r="J58" t="s">
        <v>68</v>
      </c>
      <c r="K58">
        <v>0</v>
      </c>
      <c r="L58">
        <v>39</v>
      </c>
      <c r="M58" t="s">
        <v>42</v>
      </c>
      <c r="N58" t="s">
        <v>48</v>
      </c>
    </row>
    <row r="59" spans="1:14" x14ac:dyDescent="0.3">
      <c r="A59">
        <v>36057699</v>
      </c>
      <c r="B59" t="s">
        <v>128</v>
      </c>
      <c r="C59" t="s">
        <v>15</v>
      </c>
      <c r="D59" s="1">
        <v>45472</v>
      </c>
      <c r="E59">
        <v>4014</v>
      </c>
      <c r="F59" t="s">
        <v>39</v>
      </c>
      <c r="G59" t="s">
        <v>17</v>
      </c>
      <c r="H59" t="s">
        <v>56</v>
      </c>
      <c r="I59" t="s">
        <v>34</v>
      </c>
      <c r="J59" t="s">
        <v>79</v>
      </c>
      <c r="K59">
        <v>0</v>
      </c>
      <c r="L59">
        <v>90</v>
      </c>
      <c r="M59" t="s">
        <v>58</v>
      </c>
      <c r="N59" t="s">
        <v>63</v>
      </c>
    </row>
    <row r="60" spans="1:14" x14ac:dyDescent="0.3">
      <c r="A60">
        <v>90448570</v>
      </c>
      <c r="B60" t="s">
        <v>129</v>
      </c>
      <c r="C60" t="s">
        <v>101</v>
      </c>
      <c r="D60" s="1">
        <v>45509</v>
      </c>
      <c r="E60">
        <v>20415</v>
      </c>
      <c r="F60" t="s">
        <v>39</v>
      </c>
      <c r="G60" t="s">
        <v>55</v>
      </c>
      <c r="H60" t="s">
        <v>33</v>
      </c>
      <c r="I60" t="s">
        <v>34</v>
      </c>
      <c r="J60" t="s">
        <v>41</v>
      </c>
      <c r="K60">
        <v>0</v>
      </c>
      <c r="L60">
        <v>11</v>
      </c>
      <c r="M60" t="s">
        <v>47</v>
      </c>
      <c r="N60" t="s">
        <v>63</v>
      </c>
    </row>
    <row r="61" spans="1:14" x14ac:dyDescent="0.3">
      <c r="A61">
        <v>39560366</v>
      </c>
      <c r="B61" t="s">
        <v>130</v>
      </c>
      <c r="C61" t="s">
        <v>38</v>
      </c>
      <c r="D61" s="1">
        <v>45276</v>
      </c>
      <c r="E61">
        <v>14479</v>
      </c>
      <c r="F61" t="s">
        <v>16</v>
      </c>
      <c r="G61" t="s">
        <v>17</v>
      </c>
      <c r="H61" t="s">
        <v>103</v>
      </c>
      <c r="I61" t="s">
        <v>72</v>
      </c>
      <c r="J61" t="s">
        <v>28</v>
      </c>
      <c r="K61">
        <v>0</v>
      </c>
      <c r="L61">
        <v>68</v>
      </c>
      <c r="M61" t="s">
        <v>58</v>
      </c>
      <c r="N61" t="s">
        <v>46</v>
      </c>
    </row>
    <row r="62" spans="1:14" x14ac:dyDescent="0.3">
      <c r="A62">
        <v>45163069</v>
      </c>
      <c r="B62" t="s">
        <v>131</v>
      </c>
      <c r="C62" t="s">
        <v>38</v>
      </c>
      <c r="D62" s="1">
        <v>45500</v>
      </c>
      <c r="E62">
        <v>1603</v>
      </c>
      <c r="F62" t="s">
        <v>16</v>
      </c>
      <c r="G62" t="s">
        <v>32</v>
      </c>
      <c r="H62" t="s">
        <v>103</v>
      </c>
      <c r="I62" t="s">
        <v>72</v>
      </c>
      <c r="J62" t="s">
        <v>68</v>
      </c>
      <c r="K62">
        <v>0</v>
      </c>
      <c r="L62">
        <v>17</v>
      </c>
      <c r="M62" t="s">
        <v>21</v>
      </c>
      <c r="N62" t="s">
        <v>73</v>
      </c>
    </row>
    <row r="63" spans="1:14" x14ac:dyDescent="0.3">
      <c r="A63">
        <v>24538975</v>
      </c>
      <c r="B63" t="s">
        <v>132</v>
      </c>
      <c r="C63" t="s">
        <v>15</v>
      </c>
      <c r="D63" s="1">
        <v>45461</v>
      </c>
      <c r="E63">
        <v>11770</v>
      </c>
      <c r="F63" t="s">
        <v>16</v>
      </c>
      <c r="G63" t="s">
        <v>17</v>
      </c>
      <c r="H63" t="s">
        <v>40</v>
      </c>
      <c r="I63" t="s">
        <v>27</v>
      </c>
      <c r="J63" t="s">
        <v>52</v>
      </c>
      <c r="K63">
        <v>0</v>
      </c>
      <c r="L63">
        <v>32</v>
      </c>
      <c r="M63" t="s">
        <v>42</v>
      </c>
      <c r="N63" t="s">
        <v>73</v>
      </c>
    </row>
    <row r="64" spans="1:14" x14ac:dyDescent="0.3">
      <c r="A64">
        <v>65571276</v>
      </c>
      <c r="B64" t="s">
        <v>133</v>
      </c>
      <c r="C64" t="s">
        <v>54</v>
      </c>
      <c r="D64" s="1">
        <v>45500</v>
      </c>
      <c r="E64">
        <v>3431</v>
      </c>
      <c r="F64" t="s">
        <v>61</v>
      </c>
      <c r="G64" t="s">
        <v>32</v>
      </c>
      <c r="H64" t="s">
        <v>46</v>
      </c>
      <c r="I64" t="s">
        <v>72</v>
      </c>
      <c r="J64" t="s">
        <v>41</v>
      </c>
      <c r="K64">
        <v>0</v>
      </c>
      <c r="L64">
        <v>85</v>
      </c>
      <c r="M64" t="s">
        <v>58</v>
      </c>
      <c r="N64" t="s">
        <v>87</v>
      </c>
    </row>
    <row r="65" spans="1:14" x14ac:dyDescent="0.3">
      <c r="A65">
        <v>58333520</v>
      </c>
      <c r="B65" t="s">
        <v>134</v>
      </c>
      <c r="C65" t="s">
        <v>15</v>
      </c>
      <c r="D65" s="1">
        <v>45321</v>
      </c>
      <c r="E65">
        <v>9612</v>
      </c>
      <c r="F65" t="s">
        <v>16</v>
      </c>
      <c r="G65" t="s">
        <v>25</v>
      </c>
      <c r="H65" t="s">
        <v>26</v>
      </c>
      <c r="I65" t="s">
        <v>34</v>
      </c>
      <c r="J65" t="s">
        <v>57</v>
      </c>
      <c r="K65">
        <v>0</v>
      </c>
      <c r="L65">
        <v>53</v>
      </c>
      <c r="M65" t="s">
        <v>42</v>
      </c>
      <c r="N65" t="s">
        <v>36</v>
      </c>
    </row>
    <row r="66" spans="1:14" x14ac:dyDescent="0.3">
      <c r="A66">
        <v>22921041</v>
      </c>
      <c r="B66" t="s">
        <v>135</v>
      </c>
      <c r="C66" t="s">
        <v>31</v>
      </c>
      <c r="D66" s="1">
        <v>45547</v>
      </c>
      <c r="E66">
        <v>23243</v>
      </c>
      <c r="F66" t="s">
        <v>39</v>
      </c>
      <c r="G66" t="s">
        <v>32</v>
      </c>
      <c r="H66" t="s">
        <v>103</v>
      </c>
      <c r="I66" t="s">
        <v>34</v>
      </c>
      <c r="J66" t="s">
        <v>28</v>
      </c>
      <c r="K66">
        <v>0</v>
      </c>
      <c r="L66">
        <v>65</v>
      </c>
      <c r="M66" t="s">
        <v>47</v>
      </c>
      <c r="N66" t="s">
        <v>89</v>
      </c>
    </row>
    <row r="67" spans="1:14" x14ac:dyDescent="0.3">
      <c r="A67">
        <v>66957487</v>
      </c>
      <c r="B67" t="s">
        <v>136</v>
      </c>
      <c r="C67" t="s">
        <v>24</v>
      </c>
      <c r="D67" s="1">
        <v>45576</v>
      </c>
      <c r="E67">
        <v>23671</v>
      </c>
      <c r="F67" t="s">
        <v>16</v>
      </c>
      <c r="G67" t="s">
        <v>71</v>
      </c>
      <c r="H67" t="s">
        <v>33</v>
      </c>
      <c r="I67" t="s">
        <v>27</v>
      </c>
      <c r="J67" t="s">
        <v>52</v>
      </c>
      <c r="K67">
        <v>0</v>
      </c>
      <c r="L67">
        <v>79</v>
      </c>
      <c r="M67" t="s">
        <v>21</v>
      </c>
      <c r="N67" t="s">
        <v>63</v>
      </c>
    </row>
    <row r="68" spans="1:14" x14ac:dyDescent="0.3">
      <c r="A68">
        <v>50449721</v>
      </c>
      <c r="B68" t="s">
        <v>137</v>
      </c>
      <c r="C68" t="s">
        <v>70</v>
      </c>
      <c r="D68" s="1">
        <v>45367</v>
      </c>
      <c r="E68">
        <v>5188</v>
      </c>
      <c r="F68" t="s">
        <v>16</v>
      </c>
      <c r="G68" t="s">
        <v>71</v>
      </c>
      <c r="H68" t="s">
        <v>40</v>
      </c>
      <c r="I68" t="s">
        <v>27</v>
      </c>
      <c r="J68" t="s">
        <v>68</v>
      </c>
      <c r="K68">
        <v>1</v>
      </c>
      <c r="L68">
        <v>14</v>
      </c>
      <c r="M68" t="s">
        <v>47</v>
      </c>
      <c r="N68" t="s">
        <v>46</v>
      </c>
    </row>
    <row r="69" spans="1:14" x14ac:dyDescent="0.3">
      <c r="A69">
        <v>75029599</v>
      </c>
      <c r="B69" t="s">
        <v>138</v>
      </c>
      <c r="C69" t="s">
        <v>38</v>
      </c>
      <c r="D69" s="1">
        <v>45602</v>
      </c>
      <c r="E69">
        <v>11728</v>
      </c>
      <c r="F69" t="s">
        <v>39</v>
      </c>
      <c r="G69" t="s">
        <v>55</v>
      </c>
      <c r="H69" t="s">
        <v>51</v>
      </c>
      <c r="I69" t="s">
        <v>72</v>
      </c>
      <c r="J69" t="s">
        <v>20</v>
      </c>
      <c r="K69">
        <v>0</v>
      </c>
      <c r="L69">
        <v>42</v>
      </c>
      <c r="M69" t="s">
        <v>42</v>
      </c>
      <c r="N69" t="s">
        <v>43</v>
      </c>
    </row>
    <row r="70" spans="1:14" x14ac:dyDescent="0.3">
      <c r="A70">
        <v>90805536</v>
      </c>
      <c r="B70" t="s">
        <v>139</v>
      </c>
      <c r="C70" t="s">
        <v>54</v>
      </c>
      <c r="D70" s="1">
        <v>45432</v>
      </c>
      <c r="E70">
        <v>1056</v>
      </c>
      <c r="F70" t="s">
        <v>39</v>
      </c>
      <c r="G70" t="s">
        <v>25</v>
      </c>
      <c r="H70" t="s">
        <v>46</v>
      </c>
      <c r="I70" t="s">
        <v>19</v>
      </c>
      <c r="J70" t="s">
        <v>79</v>
      </c>
      <c r="K70">
        <v>0</v>
      </c>
      <c r="L70">
        <v>36</v>
      </c>
      <c r="M70" t="s">
        <v>21</v>
      </c>
      <c r="N70" t="s">
        <v>36</v>
      </c>
    </row>
    <row r="71" spans="1:14" x14ac:dyDescent="0.3">
      <c r="A71">
        <v>84143515</v>
      </c>
      <c r="B71" t="s">
        <v>140</v>
      </c>
      <c r="C71" t="s">
        <v>101</v>
      </c>
      <c r="D71" s="1">
        <v>45613</v>
      </c>
      <c r="E71">
        <v>6783</v>
      </c>
      <c r="F71" t="s">
        <v>39</v>
      </c>
      <c r="G71" t="s">
        <v>17</v>
      </c>
      <c r="H71" t="s">
        <v>33</v>
      </c>
      <c r="I71" t="s">
        <v>19</v>
      </c>
      <c r="J71" t="s">
        <v>52</v>
      </c>
      <c r="K71">
        <v>0</v>
      </c>
      <c r="L71">
        <v>83</v>
      </c>
      <c r="M71" t="s">
        <v>47</v>
      </c>
      <c r="N71" t="s">
        <v>73</v>
      </c>
    </row>
    <row r="72" spans="1:14" x14ac:dyDescent="0.3">
      <c r="A72">
        <v>81421351</v>
      </c>
      <c r="B72" t="s">
        <v>141</v>
      </c>
      <c r="C72" t="s">
        <v>45</v>
      </c>
      <c r="D72" s="1">
        <v>45526</v>
      </c>
      <c r="E72">
        <v>19964</v>
      </c>
      <c r="F72" t="s">
        <v>39</v>
      </c>
      <c r="G72" t="s">
        <v>55</v>
      </c>
      <c r="H72" t="s">
        <v>81</v>
      </c>
      <c r="I72" t="s">
        <v>19</v>
      </c>
      <c r="J72" t="s">
        <v>20</v>
      </c>
      <c r="K72">
        <v>0</v>
      </c>
      <c r="L72">
        <v>11</v>
      </c>
      <c r="M72" t="s">
        <v>58</v>
      </c>
      <c r="N72" t="s">
        <v>22</v>
      </c>
    </row>
    <row r="73" spans="1:14" x14ac:dyDescent="0.3">
      <c r="A73">
        <v>48347365</v>
      </c>
      <c r="B73" t="s">
        <v>142</v>
      </c>
      <c r="C73" t="s">
        <v>45</v>
      </c>
      <c r="D73" s="1">
        <v>45358</v>
      </c>
      <c r="E73">
        <v>7131</v>
      </c>
      <c r="F73" t="s">
        <v>61</v>
      </c>
      <c r="G73" t="s">
        <v>55</v>
      </c>
      <c r="H73" t="s">
        <v>81</v>
      </c>
      <c r="I73" t="s">
        <v>19</v>
      </c>
      <c r="J73" t="s">
        <v>28</v>
      </c>
      <c r="K73">
        <v>0</v>
      </c>
      <c r="L73">
        <v>63</v>
      </c>
      <c r="M73" t="s">
        <v>58</v>
      </c>
      <c r="N73" t="s">
        <v>46</v>
      </c>
    </row>
    <row r="74" spans="1:14" x14ac:dyDescent="0.3">
      <c r="A74">
        <v>32663828</v>
      </c>
      <c r="B74" t="s">
        <v>143</v>
      </c>
      <c r="C74" t="s">
        <v>77</v>
      </c>
      <c r="D74" s="1">
        <v>45577</v>
      </c>
      <c r="E74">
        <v>7525</v>
      </c>
      <c r="F74" t="s">
        <v>39</v>
      </c>
      <c r="G74" t="s">
        <v>32</v>
      </c>
      <c r="H74" t="s">
        <v>33</v>
      </c>
      <c r="I74" t="s">
        <v>27</v>
      </c>
      <c r="J74" t="s">
        <v>35</v>
      </c>
      <c r="K74">
        <v>0</v>
      </c>
      <c r="L74">
        <v>48</v>
      </c>
      <c r="M74" t="s">
        <v>21</v>
      </c>
      <c r="N74" t="s">
        <v>36</v>
      </c>
    </row>
    <row r="75" spans="1:14" x14ac:dyDescent="0.3">
      <c r="A75">
        <v>80937684</v>
      </c>
      <c r="B75" t="s">
        <v>144</v>
      </c>
      <c r="C75" t="s">
        <v>70</v>
      </c>
      <c r="D75" s="1">
        <v>45302</v>
      </c>
      <c r="E75">
        <v>16351</v>
      </c>
      <c r="F75" t="s">
        <v>39</v>
      </c>
      <c r="G75" t="s">
        <v>71</v>
      </c>
      <c r="H75" t="s">
        <v>33</v>
      </c>
      <c r="I75" t="s">
        <v>19</v>
      </c>
      <c r="J75" t="s">
        <v>68</v>
      </c>
      <c r="K75">
        <v>0</v>
      </c>
      <c r="L75">
        <v>94</v>
      </c>
      <c r="M75" t="s">
        <v>21</v>
      </c>
      <c r="N75" t="s">
        <v>59</v>
      </c>
    </row>
    <row r="76" spans="1:14" x14ac:dyDescent="0.3">
      <c r="A76">
        <v>87301985</v>
      </c>
      <c r="B76" t="s">
        <v>145</v>
      </c>
      <c r="C76" t="s">
        <v>75</v>
      </c>
      <c r="D76" s="1">
        <v>45409</v>
      </c>
      <c r="E76">
        <v>21512</v>
      </c>
      <c r="F76" t="s">
        <v>39</v>
      </c>
      <c r="G76" t="s">
        <v>32</v>
      </c>
      <c r="H76" t="s">
        <v>40</v>
      </c>
      <c r="I76" t="s">
        <v>19</v>
      </c>
      <c r="J76" t="s">
        <v>35</v>
      </c>
      <c r="K76">
        <v>0</v>
      </c>
      <c r="L76">
        <v>35</v>
      </c>
      <c r="M76" t="s">
        <v>58</v>
      </c>
      <c r="N76" t="s">
        <v>43</v>
      </c>
    </row>
    <row r="77" spans="1:14" x14ac:dyDescent="0.3">
      <c r="A77">
        <v>72182629</v>
      </c>
      <c r="B77" t="s">
        <v>146</v>
      </c>
      <c r="C77" t="s">
        <v>75</v>
      </c>
      <c r="D77" s="1">
        <v>45341</v>
      </c>
      <c r="E77">
        <v>20170</v>
      </c>
      <c r="F77" t="s">
        <v>39</v>
      </c>
      <c r="G77" t="s">
        <v>55</v>
      </c>
      <c r="H77" t="s">
        <v>26</v>
      </c>
      <c r="I77" t="s">
        <v>19</v>
      </c>
      <c r="J77" t="s">
        <v>35</v>
      </c>
      <c r="K77">
        <v>0</v>
      </c>
      <c r="L77">
        <v>39</v>
      </c>
      <c r="M77" t="s">
        <v>58</v>
      </c>
      <c r="N77" t="s">
        <v>63</v>
      </c>
    </row>
    <row r="78" spans="1:14" x14ac:dyDescent="0.3">
      <c r="A78">
        <v>23733893</v>
      </c>
      <c r="B78" t="s">
        <v>147</v>
      </c>
      <c r="C78" t="s">
        <v>54</v>
      </c>
      <c r="D78" s="1">
        <v>45503</v>
      </c>
      <c r="E78">
        <v>11347</v>
      </c>
      <c r="F78" t="s">
        <v>39</v>
      </c>
      <c r="G78" t="s">
        <v>17</v>
      </c>
      <c r="H78" t="s">
        <v>18</v>
      </c>
      <c r="I78" t="s">
        <v>19</v>
      </c>
      <c r="J78" t="s">
        <v>85</v>
      </c>
      <c r="K78">
        <v>0</v>
      </c>
      <c r="L78">
        <v>16</v>
      </c>
      <c r="M78" t="s">
        <v>21</v>
      </c>
      <c r="N78" t="s">
        <v>48</v>
      </c>
    </row>
    <row r="79" spans="1:14" x14ac:dyDescent="0.3">
      <c r="A79">
        <v>21412415</v>
      </c>
      <c r="B79" t="s">
        <v>148</v>
      </c>
      <c r="C79" t="s">
        <v>77</v>
      </c>
      <c r="D79" s="1">
        <v>45586</v>
      </c>
      <c r="E79">
        <v>21657</v>
      </c>
      <c r="F79" t="s">
        <v>39</v>
      </c>
      <c r="G79" t="s">
        <v>55</v>
      </c>
      <c r="H79" t="s">
        <v>33</v>
      </c>
      <c r="I79" t="s">
        <v>19</v>
      </c>
      <c r="J79" t="s">
        <v>85</v>
      </c>
      <c r="K79">
        <v>0</v>
      </c>
      <c r="L79">
        <v>14</v>
      </c>
      <c r="M79" t="s">
        <v>58</v>
      </c>
      <c r="N79" t="s">
        <v>22</v>
      </c>
    </row>
    <row r="80" spans="1:14" x14ac:dyDescent="0.3">
      <c r="A80">
        <v>42755409</v>
      </c>
      <c r="B80" t="s">
        <v>149</v>
      </c>
      <c r="C80" t="s">
        <v>77</v>
      </c>
      <c r="D80" s="1">
        <v>45430</v>
      </c>
      <c r="E80">
        <v>24075</v>
      </c>
      <c r="F80" t="s">
        <v>39</v>
      </c>
      <c r="G80" t="s">
        <v>71</v>
      </c>
      <c r="H80" t="s">
        <v>18</v>
      </c>
      <c r="I80" t="s">
        <v>72</v>
      </c>
      <c r="J80" t="s">
        <v>68</v>
      </c>
      <c r="K80">
        <v>0</v>
      </c>
      <c r="L80">
        <v>19</v>
      </c>
      <c r="M80" t="s">
        <v>21</v>
      </c>
      <c r="N80" t="s">
        <v>22</v>
      </c>
    </row>
    <row r="81" spans="1:14" x14ac:dyDescent="0.3">
      <c r="A81">
        <v>36099694</v>
      </c>
      <c r="B81" t="s">
        <v>150</v>
      </c>
      <c r="C81" t="s">
        <v>54</v>
      </c>
      <c r="D81" s="1">
        <v>45461</v>
      </c>
      <c r="E81">
        <v>14154</v>
      </c>
      <c r="F81" t="s">
        <v>50</v>
      </c>
      <c r="G81" t="s">
        <v>55</v>
      </c>
      <c r="H81" t="s">
        <v>26</v>
      </c>
      <c r="I81" t="s">
        <v>72</v>
      </c>
      <c r="J81" t="s">
        <v>68</v>
      </c>
      <c r="K81">
        <v>0</v>
      </c>
      <c r="L81">
        <v>81</v>
      </c>
      <c r="M81" t="s">
        <v>47</v>
      </c>
      <c r="N81" t="s">
        <v>43</v>
      </c>
    </row>
    <row r="82" spans="1:14" x14ac:dyDescent="0.3">
      <c r="A82">
        <v>34550377</v>
      </c>
      <c r="B82" t="s">
        <v>151</v>
      </c>
      <c r="C82" t="s">
        <v>15</v>
      </c>
      <c r="D82" s="1">
        <v>45435</v>
      </c>
      <c r="E82">
        <v>23336</v>
      </c>
      <c r="F82" t="s">
        <v>16</v>
      </c>
      <c r="G82" t="s">
        <v>32</v>
      </c>
      <c r="H82" t="s">
        <v>51</v>
      </c>
      <c r="I82" t="s">
        <v>19</v>
      </c>
      <c r="J82" t="s">
        <v>85</v>
      </c>
      <c r="K82">
        <v>0</v>
      </c>
      <c r="L82">
        <v>54</v>
      </c>
      <c r="M82" t="s">
        <v>58</v>
      </c>
      <c r="N82" t="s">
        <v>46</v>
      </c>
    </row>
    <row r="83" spans="1:14" x14ac:dyDescent="0.3">
      <c r="A83">
        <v>13995329</v>
      </c>
      <c r="B83" t="s">
        <v>152</v>
      </c>
      <c r="C83" t="s">
        <v>24</v>
      </c>
      <c r="D83" s="1">
        <v>45389</v>
      </c>
      <c r="E83">
        <v>3837</v>
      </c>
      <c r="F83" t="s">
        <v>16</v>
      </c>
      <c r="G83" t="s">
        <v>55</v>
      </c>
      <c r="H83" t="s">
        <v>18</v>
      </c>
      <c r="I83" t="s">
        <v>72</v>
      </c>
      <c r="J83" t="s">
        <v>52</v>
      </c>
      <c r="K83">
        <v>0</v>
      </c>
      <c r="L83">
        <v>69</v>
      </c>
      <c r="M83" t="s">
        <v>58</v>
      </c>
      <c r="N83" t="s">
        <v>43</v>
      </c>
    </row>
    <row r="84" spans="1:14" x14ac:dyDescent="0.3">
      <c r="A84">
        <v>22639242</v>
      </c>
      <c r="B84" t="s">
        <v>153</v>
      </c>
      <c r="C84" t="s">
        <v>38</v>
      </c>
      <c r="D84" s="1">
        <v>45543</v>
      </c>
      <c r="E84">
        <v>18705</v>
      </c>
      <c r="F84" t="s">
        <v>39</v>
      </c>
      <c r="G84" t="s">
        <v>17</v>
      </c>
      <c r="H84" t="s">
        <v>26</v>
      </c>
      <c r="I84" t="s">
        <v>19</v>
      </c>
      <c r="J84" t="s">
        <v>41</v>
      </c>
      <c r="K84">
        <v>1</v>
      </c>
      <c r="L84">
        <v>58</v>
      </c>
      <c r="M84" t="s">
        <v>65</v>
      </c>
      <c r="N84" t="s">
        <v>87</v>
      </c>
    </row>
    <row r="85" spans="1:14" x14ac:dyDescent="0.3">
      <c r="A85">
        <v>24287784</v>
      </c>
      <c r="B85" t="s">
        <v>154</v>
      </c>
      <c r="C85" t="s">
        <v>24</v>
      </c>
      <c r="D85" s="1">
        <v>45289</v>
      </c>
      <c r="E85">
        <v>22715</v>
      </c>
      <c r="F85" t="s">
        <v>16</v>
      </c>
      <c r="G85" t="s">
        <v>25</v>
      </c>
      <c r="H85" t="s">
        <v>46</v>
      </c>
      <c r="I85" t="s">
        <v>19</v>
      </c>
      <c r="J85" t="s">
        <v>79</v>
      </c>
      <c r="K85">
        <v>0</v>
      </c>
      <c r="L85">
        <v>75</v>
      </c>
      <c r="M85" t="s">
        <v>42</v>
      </c>
      <c r="N85" t="s">
        <v>59</v>
      </c>
    </row>
    <row r="86" spans="1:14" x14ac:dyDescent="0.3">
      <c r="A86">
        <v>38716212</v>
      </c>
      <c r="B86" t="s">
        <v>155</v>
      </c>
      <c r="C86" t="s">
        <v>31</v>
      </c>
      <c r="D86" s="1">
        <v>45558</v>
      </c>
      <c r="E86">
        <v>2094</v>
      </c>
      <c r="F86" t="s">
        <v>50</v>
      </c>
      <c r="G86" t="s">
        <v>55</v>
      </c>
      <c r="H86" t="s">
        <v>81</v>
      </c>
      <c r="I86" t="s">
        <v>34</v>
      </c>
      <c r="J86" t="s">
        <v>41</v>
      </c>
      <c r="K86">
        <v>1</v>
      </c>
      <c r="L86">
        <v>73</v>
      </c>
      <c r="M86" t="s">
        <v>42</v>
      </c>
      <c r="N86" t="s">
        <v>73</v>
      </c>
    </row>
    <row r="87" spans="1:14" x14ac:dyDescent="0.3">
      <c r="A87">
        <v>50152639</v>
      </c>
      <c r="B87" t="s">
        <v>156</v>
      </c>
      <c r="C87" t="s">
        <v>45</v>
      </c>
      <c r="D87" s="1">
        <v>45289</v>
      </c>
      <c r="E87">
        <v>24973</v>
      </c>
      <c r="F87" t="s">
        <v>39</v>
      </c>
      <c r="G87" t="s">
        <v>17</v>
      </c>
      <c r="H87" t="s">
        <v>18</v>
      </c>
      <c r="I87" t="s">
        <v>72</v>
      </c>
      <c r="J87" t="s">
        <v>85</v>
      </c>
      <c r="K87">
        <v>0</v>
      </c>
      <c r="L87">
        <v>46</v>
      </c>
      <c r="M87" t="s">
        <v>47</v>
      </c>
      <c r="N87" t="s">
        <v>22</v>
      </c>
    </row>
    <row r="88" spans="1:14" x14ac:dyDescent="0.3">
      <c r="A88">
        <v>10560987</v>
      </c>
      <c r="B88" t="s">
        <v>157</v>
      </c>
      <c r="C88" t="s">
        <v>54</v>
      </c>
      <c r="D88" s="1">
        <v>45468</v>
      </c>
      <c r="E88">
        <v>19521</v>
      </c>
      <c r="F88" t="s">
        <v>61</v>
      </c>
      <c r="G88" t="s">
        <v>32</v>
      </c>
      <c r="H88" t="s">
        <v>40</v>
      </c>
      <c r="I88" t="s">
        <v>34</v>
      </c>
      <c r="J88" t="s">
        <v>85</v>
      </c>
      <c r="K88">
        <v>1</v>
      </c>
      <c r="L88">
        <v>38</v>
      </c>
      <c r="M88" t="s">
        <v>21</v>
      </c>
      <c r="N88" t="s">
        <v>36</v>
      </c>
    </row>
    <row r="89" spans="1:14" x14ac:dyDescent="0.3">
      <c r="A89">
        <v>62563619</v>
      </c>
      <c r="B89" t="s">
        <v>158</v>
      </c>
      <c r="C89" t="s">
        <v>38</v>
      </c>
      <c r="D89" s="1">
        <v>45510</v>
      </c>
      <c r="E89">
        <v>832</v>
      </c>
      <c r="F89" t="s">
        <v>16</v>
      </c>
      <c r="G89" t="s">
        <v>17</v>
      </c>
      <c r="H89" t="s">
        <v>40</v>
      </c>
      <c r="I89" t="s">
        <v>19</v>
      </c>
      <c r="J89" t="s">
        <v>28</v>
      </c>
      <c r="K89">
        <v>0</v>
      </c>
      <c r="L89">
        <v>46</v>
      </c>
      <c r="M89" t="s">
        <v>47</v>
      </c>
      <c r="N89" t="s">
        <v>22</v>
      </c>
    </row>
    <row r="90" spans="1:14" x14ac:dyDescent="0.3">
      <c r="A90">
        <v>40409910</v>
      </c>
      <c r="B90" t="s">
        <v>159</v>
      </c>
      <c r="C90" t="s">
        <v>31</v>
      </c>
      <c r="D90" s="1">
        <v>45382</v>
      </c>
      <c r="E90">
        <v>1695</v>
      </c>
      <c r="F90" t="s">
        <v>39</v>
      </c>
      <c r="G90" t="s">
        <v>17</v>
      </c>
      <c r="H90" t="s">
        <v>46</v>
      </c>
      <c r="I90" t="s">
        <v>34</v>
      </c>
      <c r="J90" t="s">
        <v>35</v>
      </c>
      <c r="K90">
        <v>1</v>
      </c>
      <c r="L90">
        <v>55</v>
      </c>
      <c r="M90" t="s">
        <v>42</v>
      </c>
      <c r="N90" t="s">
        <v>63</v>
      </c>
    </row>
    <row r="91" spans="1:14" x14ac:dyDescent="0.3">
      <c r="A91">
        <v>10117276</v>
      </c>
      <c r="B91" t="s">
        <v>160</v>
      </c>
      <c r="C91" t="s">
        <v>24</v>
      </c>
      <c r="D91" s="1">
        <v>45602</v>
      </c>
      <c r="E91">
        <v>6908</v>
      </c>
      <c r="F91" t="s">
        <v>39</v>
      </c>
      <c r="G91" t="s">
        <v>17</v>
      </c>
      <c r="H91" t="s">
        <v>51</v>
      </c>
      <c r="I91" t="s">
        <v>27</v>
      </c>
      <c r="J91" t="s">
        <v>52</v>
      </c>
      <c r="K91">
        <v>0</v>
      </c>
      <c r="L91">
        <v>38</v>
      </c>
      <c r="M91" t="s">
        <v>65</v>
      </c>
      <c r="N91" t="s">
        <v>73</v>
      </c>
    </row>
    <row r="92" spans="1:14" x14ac:dyDescent="0.3">
      <c r="A92">
        <v>75147301</v>
      </c>
      <c r="B92" t="s">
        <v>161</v>
      </c>
      <c r="C92" t="s">
        <v>38</v>
      </c>
      <c r="D92" s="1">
        <v>45598</v>
      </c>
      <c r="E92">
        <v>9688</v>
      </c>
      <c r="F92" t="s">
        <v>61</v>
      </c>
      <c r="G92" t="s">
        <v>25</v>
      </c>
      <c r="H92" t="s">
        <v>46</v>
      </c>
      <c r="I92" t="s">
        <v>27</v>
      </c>
      <c r="J92" t="s">
        <v>52</v>
      </c>
      <c r="K92">
        <v>0</v>
      </c>
      <c r="L92">
        <v>18</v>
      </c>
      <c r="M92" t="s">
        <v>42</v>
      </c>
      <c r="N92" t="s">
        <v>36</v>
      </c>
    </row>
    <row r="93" spans="1:14" x14ac:dyDescent="0.3">
      <c r="A93">
        <v>53631628</v>
      </c>
      <c r="B93" t="s">
        <v>162</v>
      </c>
      <c r="C93" t="s">
        <v>45</v>
      </c>
      <c r="D93" s="1">
        <v>45384</v>
      </c>
      <c r="E93">
        <v>20610</v>
      </c>
      <c r="F93" t="s">
        <v>16</v>
      </c>
      <c r="G93" t="s">
        <v>32</v>
      </c>
      <c r="H93" t="s">
        <v>26</v>
      </c>
      <c r="I93" t="s">
        <v>72</v>
      </c>
      <c r="J93" t="s">
        <v>20</v>
      </c>
      <c r="K93">
        <v>0</v>
      </c>
      <c r="L93">
        <v>45</v>
      </c>
      <c r="M93" t="s">
        <v>58</v>
      </c>
      <c r="N93" t="s">
        <v>36</v>
      </c>
    </row>
    <row r="94" spans="1:14" x14ac:dyDescent="0.3">
      <c r="A94">
        <v>95200804</v>
      </c>
      <c r="B94" t="s">
        <v>163</v>
      </c>
      <c r="C94" t="s">
        <v>24</v>
      </c>
      <c r="D94" s="1">
        <v>45474</v>
      </c>
      <c r="E94">
        <v>2790</v>
      </c>
      <c r="F94" t="s">
        <v>16</v>
      </c>
      <c r="G94" t="s">
        <v>17</v>
      </c>
      <c r="H94" t="s">
        <v>40</v>
      </c>
      <c r="I94" t="s">
        <v>19</v>
      </c>
      <c r="J94" t="s">
        <v>35</v>
      </c>
      <c r="K94">
        <v>0</v>
      </c>
      <c r="L94">
        <v>61</v>
      </c>
      <c r="M94" t="s">
        <v>65</v>
      </c>
      <c r="N94" t="s">
        <v>46</v>
      </c>
    </row>
    <row r="95" spans="1:14" x14ac:dyDescent="0.3">
      <c r="A95">
        <v>89200981</v>
      </c>
      <c r="B95" t="s">
        <v>164</v>
      </c>
      <c r="C95" t="s">
        <v>45</v>
      </c>
      <c r="D95" s="1">
        <v>45634</v>
      </c>
      <c r="E95">
        <v>2861</v>
      </c>
      <c r="F95" t="s">
        <v>50</v>
      </c>
      <c r="G95" t="s">
        <v>25</v>
      </c>
      <c r="H95" t="s">
        <v>81</v>
      </c>
      <c r="I95" t="s">
        <v>72</v>
      </c>
      <c r="J95" t="s">
        <v>28</v>
      </c>
      <c r="K95">
        <v>0</v>
      </c>
      <c r="L95">
        <v>25</v>
      </c>
      <c r="M95" t="s">
        <v>58</v>
      </c>
      <c r="N95" t="s">
        <v>22</v>
      </c>
    </row>
    <row r="96" spans="1:14" x14ac:dyDescent="0.3">
      <c r="A96">
        <v>15784540</v>
      </c>
      <c r="B96" t="s">
        <v>165</v>
      </c>
      <c r="C96" t="s">
        <v>101</v>
      </c>
      <c r="D96" s="1">
        <v>45332</v>
      </c>
      <c r="E96">
        <v>3776</v>
      </c>
      <c r="F96" t="s">
        <v>39</v>
      </c>
      <c r="G96" t="s">
        <v>32</v>
      </c>
      <c r="H96" t="s">
        <v>33</v>
      </c>
      <c r="I96" t="s">
        <v>27</v>
      </c>
      <c r="J96" t="s">
        <v>57</v>
      </c>
      <c r="K96">
        <v>1</v>
      </c>
      <c r="L96">
        <v>69</v>
      </c>
      <c r="M96" t="s">
        <v>47</v>
      </c>
      <c r="N96" t="s">
        <v>73</v>
      </c>
    </row>
    <row r="97" spans="1:14" x14ac:dyDescent="0.3">
      <c r="A97">
        <v>65154221</v>
      </c>
      <c r="B97" t="s">
        <v>166</v>
      </c>
      <c r="C97" t="s">
        <v>70</v>
      </c>
      <c r="D97" s="1">
        <v>45297</v>
      </c>
      <c r="E97">
        <v>2760</v>
      </c>
      <c r="F97" t="s">
        <v>39</v>
      </c>
      <c r="G97" t="s">
        <v>32</v>
      </c>
      <c r="H97" t="s">
        <v>40</v>
      </c>
      <c r="I97" t="s">
        <v>34</v>
      </c>
      <c r="J97" t="s">
        <v>20</v>
      </c>
      <c r="K97">
        <v>0</v>
      </c>
      <c r="L97">
        <v>39</v>
      </c>
      <c r="M97" t="s">
        <v>58</v>
      </c>
      <c r="N97" t="s">
        <v>22</v>
      </c>
    </row>
    <row r="98" spans="1:14" x14ac:dyDescent="0.3">
      <c r="A98">
        <v>87824397</v>
      </c>
      <c r="B98" t="s">
        <v>167</v>
      </c>
      <c r="C98" t="s">
        <v>101</v>
      </c>
      <c r="D98" s="1">
        <v>45455</v>
      </c>
      <c r="E98">
        <v>18868</v>
      </c>
      <c r="F98" t="s">
        <v>39</v>
      </c>
      <c r="G98" t="s">
        <v>55</v>
      </c>
      <c r="H98" t="s">
        <v>56</v>
      </c>
      <c r="I98" t="s">
        <v>27</v>
      </c>
      <c r="J98" t="s">
        <v>79</v>
      </c>
      <c r="K98">
        <v>0</v>
      </c>
      <c r="L98">
        <v>18</v>
      </c>
      <c r="M98" t="s">
        <v>29</v>
      </c>
      <c r="N98" t="s">
        <v>46</v>
      </c>
    </row>
    <row r="99" spans="1:14" x14ac:dyDescent="0.3">
      <c r="A99">
        <v>21065610</v>
      </c>
      <c r="B99" t="s">
        <v>168</v>
      </c>
      <c r="C99" t="s">
        <v>15</v>
      </c>
      <c r="D99" s="1">
        <v>45451</v>
      </c>
      <c r="E99">
        <v>7764</v>
      </c>
      <c r="F99" t="s">
        <v>50</v>
      </c>
      <c r="G99" t="s">
        <v>71</v>
      </c>
      <c r="H99" t="s">
        <v>33</v>
      </c>
      <c r="I99" t="s">
        <v>72</v>
      </c>
      <c r="J99" t="s">
        <v>52</v>
      </c>
      <c r="K99">
        <v>0</v>
      </c>
      <c r="L99">
        <v>28</v>
      </c>
      <c r="M99" t="s">
        <v>58</v>
      </c>
      <c r="N99" t="s">
        <v>48</v>
      </c>
    </row>
    <row r="100" spans="1:14" x14ac:dyDescent="0.3">
      <c r="A100">
        <v>23921117</v>
      </c>
      <c r="B100" t="s">
        <v>169</v>
      </c>
      <c r="C100" t="s">
        <v>54</v>
      </c>
      <c r="D100" s="1">
        <v>45297</v>
      </c>
      <c r="E100">
        <v>18020</v>
      </c>
      <c r="F100" t="s">
        <v>39</v>
      </c>
      <c r="G100" t="s">
        <v>17</v>
      </c>
      <c r="H100" t="s">
        <v>40</v>
      </c>
      <c r="I100" t="s">
        <v>72</v>
      </c>
      <c r="J100" t="s">
        <v>68</v>
      </c>
      <c r="K100">
        <v>0</v>
      </c>
      <c r="L100">
        <v>80</v>
      </c>
      <c r="M100" t="s">
        <v>47</v>
      </c>
      <c r="N100" t="s">
        <v>22</v>
      </c>
    </row>
    <row r="101" spans="1:14" x14ac:dyDescent="0.3">
      <c r="A101">
        <v>22421404</v>
      </c>
      <c r="B101" t="s">
        <v>170</v>
      </c>
      <c r="C101" t="s">
        <v>38</v>
      </c>
      <c r="D101" s="1">
        <v>45538</v>
      </c>
      <c r="E101">
        <v>4965</v>
      </c>
      <c r="F101" t="s">
        <v>16</v>
      </c>
      <c r="G101" t="s">
        <v>32</v>
      </c>
      <c r="H101" t="s">
        <v>62</v>
      </c>
      <c r="I101" t="s">
        <v>19</v>
      </c>
      <c r="J101" t="s">
        <v>41</v>
      </c>
      <c r="K101">
        <v>1</v>
      </c>
      <c r="L101">
        <v>22</v>
      </c>
      <c r="M101" t="s">
        <v>47</v>
      </c>
      <c r="N101" t="s">
        <v>36</v>
      </c>
    </row>
    <row r="102" spans="1:14" x14ac:dyDescent="0.3">
      <c r="A102">
        <v>84552344</v>
      </c>
      <c r="B102" t="s">
        <v>171</v>
      </c>
      <c r="C102" t="s">
        <v>75</v>
      </c>
      <c r="D102" s="1">
        <v>45392</v>
      </c>
      <c r="E102">
        <v>13733</v>
      </c>
      <c r="F102" t="s">
        <v>50</v>
      </c>
      <c r="G102" t="s">
        <v>17</v>
      </c>
      <c r="H102" t="s">
        <v>18</v>
      </c>
      <c r="I102" t="s">
        <v>19</v>
      </c>
      <c r="J102" t="s">
        <v>41</v>
      </c>
      <c r="K102">
        <v>1</v>
      </c>
      <c r="L102">
        <v>78</v>
      </c>
      <c r="M102" t="s">
        <v>58</v>
      </c>
      <c r="N102" t="s">
        <v>59</v>
      </c>
    </row>
    <row r="103" spans="1:14" x14ac:dyDescent="0.3">
      <c r="A103">
        <v>78149926</v>
      </c>
      <c r="B103" t="s">
        <v>172</v>
      </c>
      <c r="C103" t="s">
        <v>77</v>
      </c>
      <c r="D103" s="1">
        <v>45364</v>
      </c>
      <c r="E103">
        <v>20336</v>
      </c>
      <c r="F103" t="s">
        <v>61</v>
      </c>
      <c r="G103" t="s">
        <v>17</v>
      </c>
      <c r="H103" t="s">
        <v>103</v>
      </c>
      <c r="I103" t="s">
        <v>19</v>
      </c>
      <c r="J103" t="s">
        <v>57</v>
      </c>
      <c r="K103">
        <v>0</v>
      </c>
      <c r="L103">
        <v>19</v>
      </c>
      <c r="M103" t="s">
        <v>58</v>
      </c>
      <c r="N103" t="s">
        <v>63</v>
      </c>
    </row>
    <row r="104" spans="1:14" x14ac:dyDescent="0.3">
      <c r="A104">
        <v>61148006</v>
      </c>
      <c r="B104" t="s">
        <v>173</v>
      </c>
      <c r="C104" t="s">
        <v>70</v>
      </c>
      <c r="D104" s="1">
        <v>45452</v>
      </c>
      <c r="E104">
        <v>16906</v>
      </c>
      <c r="F104" t="s">
        <v>50</v>
      </c>
      <c r="G104" t="s">
        <v>25</v>
      </c>
      <c r="H104" t="s">
        <v>33</v>
      </c>
      <c r="I104" t="s">
        <v>27</v>
      </c>
      <c r="J104" t="s">
        <v>68</v>
      </c>
      <c r="K104">
        <v>0</v>
      </c>
      <c r="L104">
        <v>33</v>
      </c>
      <c r="M104" t="s">
        <v>58</v>
      </c>
      <c r="N104" t="s">
        <v>63</v>
      </c>
    </row>
    <row r="105" spans="1:14" x14ac:dyDescent="0.3">
      <c r="A105">
        <v>34034948</v>
      </c>
      <c r="B105" t="s">
        <v>174</v>
      </c>
      <c r="C105" t="s">
        <v>77</v>
      </c>
      <c r="D105" s="1">
        <v>45302</v>
      </c>
      <c r="E105">
        <v>8161</v>
      </c>
      <c r="F105" t="s">
        <v>16</v>
      </c>
      <c r="G105" t="s">
        <v>55</v>
      </c>
      <c r="H105" t="s">
        <v>62</v>
      </c>
      <c r="I105" t="s">
        <v>27</v>
      </c>
      <c r="J105" t="s">
        <v>28</v>
      </c>
      <c r="K105">
        <v>0</v>
      </c>
      <c r="L105">
        <v>61</v>
      </c>
      <c r="M105" t="s">
        <v>21</v>
      </c>
      <c r="N105" t="s">
        <v>87</v>
      </c>
    </row>
    <row r="106" spans="1:14" x14ac:dyDescent="0.3">
      <c r="A106">
        <v>62554708</v>
      </c>
      <c r="B106" t="s">
        <v>175</v>
      </c>
      <c r="C106" t="s">
        <v>38</v>
      </c>
      <c r="D106" s="1">
        <v>45526</v>
      </c>
      <c r="E106">
        <v>22728</v>
      </c>
      <c r="F106" t="s">
        <v>50</v>
      </c>
      <c r="G106" t="s">
        <v>71</v>
      </c>
      <c r="H106" t="s">
        <v>40</v>
      </c>
      <c r="I106" t="s">
        <v>27</v>
      </c>
      <c r="J106" t="s">
        <v>28</v>
      </c>
      <c r="K106">
        <v>0</v>
      </c>
      <c r="L106">
        <v>20</v>
      </c>
      <c r="M106" t="s">
        <v>21</v>
      </c>
      <c r="N106" t="s">
        <v>22</v>
      </c>
    </row>
    <row r="107" spans="1:14" x14ac:dyDescent="0.3">
      <c r="A107">
        <v>47813903</v>
      </c>
      <c r="B107" t="s">
        <v>176</v>
      </c>
      <c r="C107" t="s">
        <v>54</v>
      </c>
      <c r="D107" s="1">
        <v>45587</v>
      </c>
      <c r="E107">
        <v>10680</v>
      </c>
      <c r="F107" t="s">
        <v>61</v>
      </c>
      <c r="G107" t="s">
        <v>55</v>
      </c>
      <c r="H107" t="s">
        <v>33</v>
      </c>
      <c r="I107" t="s">
        <v>27</v>
      </c>
      <c r="J107" t="s">
        <v>52</v>
      </c>
      <c r="K107">
        <v>0</v>
      </c>
      <c r="L107">
        <v>15</v>
      </c>
      <c r="M107" t="s">
        <v>47</v>
      </c>
      <c r="N107" t="s">
        <v>48</v>
      </c>
    </row>
    <row r="108" spans="1:14" x14ac:dyDescent="0.3">
      <c r="A108">
        <v>58961246</v>
      </c>
      <c r="B108" t="s">
        <v>177</v>
      </c>
      <c r="C108" t="s">
        <v>77</v>
      </c>
      <c r="D108" s="1">
        <v>45591</v>
      </c>
      <c r="E108">
        <v>20904</v>
      </c>
      <c r="F108" t="s">
        <v>39</v>
      </c>
      <c r="G108" t="s">
        <v>25</v>
      </c>
      <c r="H108" t="s">
        <v>62</v>
      </c>
      <c r="I108" t="s">
        <v>34</v>
      </c>
      <c r="J108" t="s">
        <v>79</v>
      </c>
      <c r="K108">
        <v>0</v>
      </c>
      <c r="L108">
        <v>90</v>
      </c>
      <c r="M108" t="s">
        <v>65</v>
      </c>
      <c r="N108" t="s">
        <v>89</v>
      </c>
    </row>
    <row r="109" spans="1:14" x14ac:dyDescent="0.3">
      <c r="A109">
        <v>42445507</v>
      </c>
      <c r="B109" t="s">
        <v>178</v>
      </c>
      <c r="C109" t="s">
        <v>77</v>
      </c>
      <c r="D109" s="1">
        <v>45330</v>
      </c>
      <c r="E109">
        <v>1295</v>
      </c>
      <c r="F109" t="s">
        <v>61</v>
      </c>
      <c r="G109" t="s">
        <v>17</v>
      </c>
      <c r="H109" t="s">
        <v>33</v>
      </c>
      <c r="I109" t="s">
        <v>27</v>
      </c>
      <c r="J109" t="s">
        <v>68</v>
      </c>
      <c r="K109">
        <v>1</v>
      </c>
      <c r="L109">
        <v>80</v>
      </c>
      <c r="M109" t="s">
        <v>47</v>
      </c>
      <c r="N109" t="s">
        <v>43</v>
      </c>
    </row>
    <row r="110" spans="1:14" x14ac:dyDescent="0.3">
      <c r="A110">
        <v>69187765</v>
      </c>
      <c r="B110" t="s">
        <v>179</v>
      </c>
      <c r="C110" t="s">
        <v>75</v>
      </c>
      <c r="D110" s="1">
        <v>45398</v>
      </c>
      <c r="E110">
        <v>23512</v>
      </c>
      <c r="F110" t="s">
        <v>39</v>
      </c>
      <c r="G110" t="s">
        <v>55</v>
      </c>
      <c r="H110" t="s">
        <v>51</v>
      </c>
      <c r="I110" t="s">
        <v>19</v>
      </c>
      <c r="J110" t="s">
        <v>85</v>
      </c>
      <c r="K110">
        <v>0</v>
      </c>
      <c r="L110">
        <v>26</v>
      </c>
      <c r="M110" t="s">
        <v>29</v>
      </c>
      <c r="N110" t="s">
        <v>89</v>
      </c>
    </row>
    <row r="111" spans="1:14" x14ac:dyDescent="0.3">
      <c r="A111">
        <v>99192536</v>
      </c>
      <c r="B111" t="s">
        <v>180</v>
      </c>
      <c r="C111" t="s">
        <v>38</v>
      </c>
      <c r="D111" s="1">
        <v>45501</v>
      </c>
      <c r="E111">
        <v>24736</v>
      </c>
      <c r="F111" t="s">
        <v>16</v>
      </c>
      <c r="G111" t="s">
        <v>17</v>
      </c>
      <c r="H111" t="s">
        <v>33</v>
      </c>
      <c r="I111" t="s">
        <v>27</v>
      </c>
      <c r="J111" t="s">
        <v>68</v>
      </c>
      <c r="K111">
        <v>1</v>
      </c>
      <c r="L111">
        <v>56</v>
      </c>
      <c r="M111" t="s">
        <v>42</v>
      </c>
      <c r="N111" t="s">
        <v>73</v>
      </c>
    </row>
    <row r="112" spans="1:14" x14ac:dyDescent="0.3">
      <c r="A112">
        <v>10149344</v>
      </c>
      <c r="B112" t="s">
        <v>181</v>
      </c>
      <c r="C112" t="s">
        <v>24</v>
      </c>
      <c r="D112" s="1">
        <v>45484</v>
      </c>
      <c r="E112">
        <v>5543</v>
      </c>
      <c r="F112" t="s">
        <v>39</v>
      </c>
      <c r="G112" t="s">
        <v>71</v>
      </c>
      <c r="H112" t="s">
        <v>81</v>
      </c>
      <c r="I112" t="s">
        <v>19</v>
      </c>
      <c r="J112" t="s">
        <v>35</v>
      </c>
      <c r="K112">
        <v>0</v>
      </c>
      <c r="L112">
        <v>72</v>
      </c>
      <c r="M112" t="s">
        <v>21</v>
      </c>
      <c r="N112" t="s">
        <v>87</v>
      </c>
    </row>
    <row r="113" spans="1:14" x14ac:dyDescent="0.3">
      <c r="A113">
        <v>82127371</v>
      </c>
      <c r="B113" t="s">
        <v>182</v>
      </c>
      <c r="C113" t="s">
        <v>70</v>
      </c>
      <c r="D113" s="1">
        <v>45566</v>
      </c>
      <c r="E113">
        <v>13102</v>
      </c>
      <c r="F113" t="s">
        <v>39</v>
      </c>
      <c r="G113" t="s">
        <v>25</v>
      </c>
      <c r="H113" t="s">
        <v>46</v>
      </c>
      <c r="I113" t="s">
        <v>72</v>
      </c>
      <c r="J113" t="s">
        <v>41</v>
      </c>
      <c r="K113">
        <v>1</v>
      </c>
      <c r="L113">
        <v>95</v>
      </c>
      <c r="M113" t="s">
        <v>29</v>
      </c>
      <c r="N113" t="s">
        <v>22</v>
      </c>
    </row>
    <row r="114" spans="1:14" x14ac:dyDescent="0.3">
      <c r="A114">
        <v>74082692</v>
      </c>
      <c r="B114" t="s">
        <v>183</v>
      </c>
      <c r="C114" t="s">
        <v>38</v>
      </c>
      <c r="D114" s="1">
        <v>45421</v>
      </c>
      <c r="E114">
        <v>11335</v>
      </c>
      <c r="F114" t="s">
        <v>50</v>
      </c>
      <c r="G114" t="s">
        <v>32</v>
      </c>
      <c r="H114" t="s">
        <v>26</v>
      </c>
      <c r="I114" t="s">
        <v>19</v>
      </c>
      <c r="J114" t="s">
        <v>85</v>
      </c>
      <c r="K114">
        <v>0</v>
      </c>
      <c r="L114">
        <v>28</v>
      </c>
      <c r="M114" t="s">
        <v>21</v>
      </c>
      <c r="N114" t="s">
        <v>89</v>
      </c>
    </row>
    <row r="115" spans="1:14" x14ac:dyDescent="0.3">
      <c r="A115">
        <v>93730832</v>
      </c>
      <c r="B115" t="s">
        <v>184</v>
      </c>
      <c r="C115" t="s">
        <v>45</v>
      </c>
      <c r="D115" s="1">
        <v>45578</v>
      </c>
      <c r="E115">
        <v>20131</v>
      </c>
      <c r="F115" t="s">
        <v>39</v>
      </c>
      <c r="G115" t="s">
        <v>25</v>
      </c>
      <c r="H115" t="s">
        <v>62</v>
      </c>
      <c r="I115" t="s">
        <v>27</v>
      </c>
      <c r="J115" t="s">
        <v>41</v>
      </c>
      <c r="K115">
        <v>1</v>
      </c>
      <c r="L115">
        <v>75</v>
      </c>
      <c r="M115" t="s">
        <v>42</v>
      </c>
      <c r="N115" t="s">
        <v>48</v>
      </c>
    </row>
    <row r="116" spans="1:14" x14ac:dyDescent="0.3">
      <c r="A116">
        <v>27315999</v>
      </c>
      <c r="B116" t="s">
        <v>185</v>
      </c>
      <c r="C116" t="s">
        <v>77</v>
      </c>
      <c r="D116" s="1">
        <v>45521</v>
      </c>
      <c r="E116">
        <v>12332</v>
      </c>
      <c r="F116" t="s">
        <v>39</v>
      </c>
      <c r="G116" t="s">
        <v>55</v>
      </c>
      <c r="H116" t="s">
        <v>51</v>
      </c>
      <c r="I116" t="s">
        <v>19</v>
      </c>
      <c r="J116" t="s">
        <v>20</v>
      </c>
      <c r="K116">
        <v>0</v>
      </c>
      <c r="L116">
        <v>45</v>
      </c>
      <c r="M116" t="s">
        <v>42</v>
      </c>
      <c r="N116" t="s">
        <v>89</v>
      </c>
    </row>
    <row r="117" spans="1:14" x14ac:dyDescent="0.3">
      <c r="A117">
        <v>50880858</v>
      </c>
      <c r="B117" t="s">
        <v>186</v>
      </c>
      <c r="C117" t="s">
        <v>77</v>
      </c>
      <c r="D117" s="1">
        <v>45567</v>
      </c>
      <c r="E117">
        <v>14191</v>
      </c>
      <c r="F117" t="s">
        <v>61</v>
      </c>
      <c r="G117" t="s">
        <v>32</v>
      </c>
      <c r="H117" t="s">
        <v>26</v>
      </c>
      <c r="I117" t="s">
        <v>19</v>
      </c>
      <c r="J117" t="s">
        <v>85</v>
      </c>
      <c r="K117">
        <v>0</v>
      </c>
      <c r="L117">
        <v>67</v>
      </c>
      <c r="M117" t="s">
        <v>47</v>
      </c>
      <c r="N117" t="s">
        <v>22</v>
      </c>
    </row>
    <row r="118" spans="1:14" x14ac:dyDescent="0.3">
      <c r="A118">
        <v>91232868</v>
      </c>
      <c r="B118" t="s">
        <v>187</v>
      </c>
      <c r="C118" t="s">
        <v>24</v>
      </c>
      <c r="D118" s="1">
        <v>45629</v>
      </c>
      <c r="E118">
        <v>8956</v>
      </c>
      <c r="F118" t="s">
        <v>61</v>
      </c>
      <c r="G118" t="s">
        <v>71</v>
      </c>
      <c r="H118" t="s">
        <v>26</v>
      </c>
      <c r="I118" t="s">
        <v>72</v>
      </c>
      <c r="J118" t="s">
        <v>85</v>
      </c>
      <c r="K118">
        <v>0</v>
      </c>
      <c r="L118">
        <v>30</v>
      </c>
      <c r="M118" t="s">
        <v>47</v>
      </c>
      <c r="N118" t="s">
        <v>73</v>
      </c>
    </row>
    <row r="119" spans="1:14" x14ac:dyDescent="0.3">
      <c r="A119">
        <v>37845729</v>
      </c>
      <c r="B119" t="s">
        <v>188</v>
      </c>
      <c r="C119" t="s">
        <v>77</v>
      </c>
      <c r="D119" s="1">
        <v>45399</v>
      </c>
      <c r="E119">
        <v>17448</v>
      </c>
      <c r="F119" t="s">
        <v>39</v>
      </c>
      <c r="G119" t="s">
        <v>32</v>
      </c>
      <c r="H119" t="s">
        <v>103</v>
      </c>
      <c r="I119" t="s">
        <v>34</v>
      </c>
      <c r="J119" t="s">
        <v>85</v>
      </c>
      <c r="K119">
        <v>1</v>
      </c>
      <c r="L119">
        <v>95</v>
      </c>
      <c r="M119" t="s">
        <v>58</v>
      </c>
      <c r="N119" t="s">
        <v>87</v>
      </c>
    </row>
    <row r="120" spans="1:14" x14ac:dyDescent="0.3">
      <c r="A120">
        <v>64308049</v>
      </c>
      <c r="B120" t="s">
        <v>189</v>
      </c>
      <c r="C120" t="s">
        <v>70</v>
      </c>
      <c r="D120" s="1">
        <v>45536</v>
      </c>
      <c r="E120">
        <v>10110</v>
      </c>
      <c r="F120" t="s">
        <v>16</v>
      </c>
      <c r="G120" t="s">
        <v>32</v>
      </c>
      <c r="H120" t="s">
        <v>56</v>
      </c>
      <c r="I120" t="s">
        <v>72</v>
      </c>
      <c r="J120" t="s">
        <v>79</v>
      </c>
      <c r="K120">
        <v>0</v>
      </c>
      <c r="L120">
        <v>63</v>
      </c>
      <c r="M120" t="s">
        <v>65</v>
      </c>
      <c r="N120" t="s">
        <v>36</v>
      </c>
    </row>
    <row r="121" spans="1:14" x14ac:dyDescent="0.3">
      <c r="A121">
        <v>37400867</v>
      </c>
      <c r="B121" t="s">
        <v>190</v>
      </c>
      <c r="C121" t="s">
        <v>38</v>
      </c>
      <c r="D121" s="1">
        <v>45509</v>
      </c>
      <c r="E121">
        <v>1711</v>
      </c>
      <c r="F121" t="s">
        <v>39</v>
      </c>
      <c r="G121" t="s">
        <v>25</v>
      </c>
      <c r="H121" t="s">
        <v>33</v>
      </c>
      <c r="I121" t="s">
        <v>72</v>
      </c>
      <c r="J121" t="s">
        <v>79</v>
      </c>
      <c r="K121">
        <v>0</v>
      </c>
      <c r="L121">
        <v>19</v>
      </c>
      <c r="M121" t="s">
        <v>29</v>
      </c>
      <c r="N121" t="s">
        <v>73</v>
      </c>
    </row>
    <row r="122" spans="1:14" x14ac:dyDescent="0.3">
      <c r="A122">
        <v>87852293</v>
      </c>
      <c r="B122" t="s">
        <v>191</v>
      </c>
      <c r="C122" t="s">
        <v>54</v>
      </c>
      <c r="D122" s="1">
        <v>45414</v>
      </c>
      <c r="E122">
        <v>9742</v>
      </c>
      <c r="F122" t="s">
        <v>39</v>
      </c>
      <c r="G122" t="s">
        <v>71</v>
      </c>
      <c r="H122" t="s">
        <v>56</v>
      </c>
      <c r="I122" t="s">
        <v>19</v>
      </c>
      <c r="J122" t="s">
        <v>68</v>
      </c>
      <c r="K122">
        <v>0</v>
      </c>
      <c r="L122">
        <v>31</v>
      </c>
      <c r="M122" t="s">
        <v>65</v>
      </c>
      <c r="N122" t="s">
        <v>63</v>
      </c>
    </row>
    <row r="123" spans="1:14" x14ac:dyDescent="0.3">
      <c r="A123">
        <v>18250402</v>
      </c>
      <c r="B123" t="s">
        <v>192</v>
      </c>
      <c r="C123" t="s">
        <v>24</v>
      </c>
      <c r="D123" s="1">
        <v>45389</v>
      </c>
      <c r="E123">
        <v>13965</v>
      </c>
      <c r="F123" t="s">
        <v>39</v>
      </c>
      <c r="G123" t="s">
        <v>71</v>
      </c>
      <c r="H123" t="s">
        <v>62</v>
      </c>
      <c r="I123" t="s">
        <v>72</v>
      </c>
      <c r="J123" t="s">
        <v>79</v>
      </c>
      <c r="K123">
        <v>0</v>
      </c>
      <c r="L123">
        <v>71</v>
      </c>
      <c r="M123" t="s">
        <v>42</v>
      </c>
      <c r="N123" t="s">
        <v>89</v>
      </c>
    </row>
    <row r="124" spans="1:14" x14ac:dyDescent="0.3">
      <c r="A124">
        <v>85509756</v>
      </c>
      <c r="B124" t="s">
        <v>193</v>
      </c>
      <c r="C124" t="s">
        <v>15</v>
      </c>
      <c r="D124" s="1">
        <v>45572</v>
      </c>
      <c r="E124">
        <v>9632</v>
      </c>
      <c r="F124" t="s">
        <v>16</v>
      </c>
      <c r="G124" t="s">
        <v>71</v>
      </c>
      <c r="H124" t="s">
        <v>40</v>
      </c>
      <c r="I124" t="s">
        <v>27</v>
      </c>
      <c r="J124" t="s">
        <v>68</v>
      </c>
      <c r="K124">
        <v>0</v>
      </c>
      <c r="L124">
        <v>44</v>
      </c>
      <c r="M124" t="s">
        <v>21</v>
      </c>
      <c r="N124" t="s">
        <v>48</v>
      </c>
    </row>
    <row r="125" spans="1:14" x14ac:dyDescent="0.3">
      <c r="A125">
        <v>21329759</v>
      </c>
      <c r="B125" t="s">
        <v>194</v>
      </c>
      <c r="C125" t="s">
        <v>38</v>
      </c>
      <c r="D125" s="1">
        <v>45338</v>
      </c>
      <c r="E125">
        <v>10960</v>
      </c>
      <c r="F125" t="s">
        <v>39</v>
      </c>
      <c r="G125" t="s">
        <v>32</v>
      </c>
      <c r="H125" t="s">
        <v>33</v>
      </c>
      <c r="I125" t="s">
        <v>27</v>
      </c>
      <c r="J125" t="s">
        <v>35</v>
      </c>
      <c r="K125">
        <v>1</v>
      </c>
      <c r="L125">
        <v>87</v>
      </c>
      <c r="M125" t="s">
        <v>58</v>
      </c>
      <c r="N125" t="s">
        <v>36</v>
      </c>
    </row>
    <row r="126" spans="1:14" x14ac:dyDescent="0.3">
      <c r="A126">
        <v>10260467</v>
      </c>
      <c r="B126" t="s">
        <v>195</v>
      </c>
      <c r="C126" t="s">
        <v>75</v>
      </c>
      <c r="D126" s="1">
        <v>45624</v>
      </c>
      <c r="E126">
        <v>22184</v>
      </c>
      <c r="F126" t="s">
        <v>39</v>
      </c>
      <c r="G126" t="s">
        <v>71</v>
      </c>
      <c r="H126" t="s">
        <v>62</v>
      </c>
      <c r="I126" t="s">
        <v>27</v>
      </c>
      <c r="J126" t="s">
        <v>79</v>
      </c>
      <c r="K126">
        <v>1</v>
      </c>
      <c r="L126">
        <v>39</v>
      </c>
      <c r="M126" t="s">
        <v>29</v>
      </c>
      <c r="N126" t="s">
        <v>22</v>
      </c>
    </row>
    <row r="127" spans="1:14" x14ac:dyDescent="0.3">
      <c r="A127">
        <v>33505820</v>
      </c>
      <c r="B127" t="s">
        <v>196</v>
      </c>
      <c r="C127" t="s">
        <v>77</v>
      </c>
      <c r="D127" s="1">
        <v>45412</v>
      </c>
      <c r="E127">
        <v>24174</v>
      </c>
      <c r="F127" t="s">
        <v>61</v>
      </c>
      <c r="G127" t="s">
        <v>55</v>
      </c>
      <c r="H127" t="s">
        <v>62</v>
      </c>
      <c r="I127" t="s">
        <v>27</v>
      </c>
      <c r="J127" t="s">
        <v>79</v>
      </c>
      <c r="K127">
        <v>0</v>
      </c>
      <c r="L127">
        <v>34</v>
      </c>
      <c r="M127" t="s">
        <v>21</v>
      </c>
      <c r="N127" t="s">
        <v>89</v>
      </c>
    </row>
    <row r="128" spans="1:14" x14ac:dyDescent="0.3">
      <c r="A128">
        <v>26209976</v>
      </c>
      <c r="B128" t="s">
        <v>197</v>
      </c>
      <c r="C128" t="s">
        <v>70</v>
      </c>
      <c r="D128" s="1">
        <v>45326</v>
      </c>
      <c r="E128">
        <v>7917</v>
      </c>
      <c r="F128" t="s">
        <v>50</v>
      </c>
      <c r="G128" t="s">
        <v>71</v>
      </c>
      <c r="H128" t="s">
        <v>46</v>
      </c>
      <c r="I128" t="s">
        <v>27</v>
      </c>
      <c r="J128" t="s">
        <v>20</v>
      </c>
      <c r="K128">
        <v>0</v>
      </c>
      <c r="L128">
        <v>55</v>
      </c>
      <c r="M128" t="s">
        <v>58</v>
      </c>
      <c r="N128" t="s">
        <v>87</v>
      </c>
    </row>
    <row r="129" spans="1:14" x14ac:dyDescent="0.3">
      <c r="A129">
        <v>76975447</v>
      </c>
      <c r="B129" t="s">
        <v>198</v>
      </c>
      <c r="C129" t="s">
        <v>70</v>
      </c>
      <c r="D129" s="1">
        <v>45413</v>
      </c>
      <c r="E129">
        <v>10563</v>
      </c>
      <c r="F129" t="s">
        <v>39</v>
      </c>
      <c r="G129" t="s">
        <v>55</v>
      </c>
      <c r="H129" t="s">
        <v>103</v>
      </c>
      <c r="I129" t="s">
        <v>34</v>
      </c>
      <c r="J129" t="s">
        <v>79</v>
      </c>
      <c r="K129">
        <v>0</v>
      </c>
      <c r="L129">
        <v>39</v>
      </c>
      <c r="M129" t="s">
        <v>65</v>
      </c>
      <c r="N129" t="s">
        <v>48</v>
      </c>
    </row>
    <row r="130" spans="1:14" x14ac:dyDescent="0.3">
      <c r="A130">
        <v>64841897</v>
      </c>
      <c r="B130" t="s">
        <v>199</v>
      </c>
      <c r="C130" t="s">
        <v>75</v>
      </c>
      <c r="D130" s="1">
        <v>45416</v>
      </c>
      <c r="E130">
        <v>1654</v>
      </c>
      <c r="F130" t="s">
        <v>39</v>
      </c>
      <c r="G130" t="s">
        <v>71</v>
      </c>
      <c r="H130" t="s">
        <v>18</v>
      </c>
      <c r="I130" t="s">
        <v>34</v>
      </c>
      <c r="J130" t="s">
        <v>68</v>
      </c>
      <c r="K130">
        <v>0</v>
      </c>
      <c r="L130">
        <v>17</v>
      </c>
      <c r="M130" t="s">
        <v>58</v>
      </c>
      <c r="N130" t="s">
        <v>48</v>
      </c>
    </row>
    <row r="131" spans="1:14" x14ac:dyDescent="0.3">
      <c r="A131">
        <v>31962281</v>
      </c>
      <c r="B131" t="s">
        <v>200</v>
      </c>
      <c r="C131" t="s">
        <v>15</v>
      </c>
      <c r="D131" s="1">
        <v>45354</v>
      </c>
      <c r="E131">
        <v>24837</v>
      </c>
      <c r="F131" t="s">
        <v>39</v>
      </c>
      <c r="G131" t="s">
        <v>32</v>
      </c>
      <c r="H131" t="s">
        <v>103</v>
      </c>
      <c r="I131" t="s">
        <v>72</v>
      </c>
      <c r="J131" t="s">
        <v>28</v>
      </c>
      <c r="K131">
        <v>0</v>
      </c>
      <c r="L131">
        <v>13</v>
      </c>
      <c r="M131" t="s">
        <v>21</v>
      </c>
      <c r="N131" t="s">
        <v>22</v>
      </c>
    </row>
    <row r="132" spans="1:14" x14ac:dyDescent="0.3">
      <c r="A132">
        <v>70845514</v>
      </c>
      <c r="B132" t="s">
        <v>201</v>
      </c>
      <c r="C132" t="s">
        <v>75</v>
      </c>
      <c r="D132" s="1">
        <v>45305</v>
      </c>
      <c r="E132">
        <v>17654</v>
      </c>
      <c r="F132" t="s">
        <v>16</v>
      </c>
      <c r="G132" t="s">
        <v>32</v>
      </c>
      <c r="H132" t="s">
        <v>51</v>
      </c>
      <c r="I132" t="s">
        <v>27</v>
      </c>
      <c r="J132" t="s">
        <v>85</v>
      </c>
      <c r="K132">
        <v>0</v>
      </c>
      <c r="L132">
        <v>49</v>
      </c>
      <c r="M132" t="s">
        <v>47</v>
      </c>
      <c r="N132" t="s">
        <v>87</v>
      </c>
    </row>
    <row r="133" spans="1:14" x14ac:dyDescent="0.3">
      <c r="A133">
        <v>15820659</v>
      </c>
      <c r="B133" t="s">
        <v>202</v>
      </c>
      <c r="C133" t="s">
        <v>15</v>
      </c>
      <c r="D133" s="1">
        <v>45449</v>
      </c>
      <c r="E133">
        <v>12378</v>
      </c>
      <c r="F133" t="s">
        <v>16</v>
      </c>
      <c r="G133" t="s">
        <v>71</v>
      </c>
      <c r="H133" t="s">
        <v>103</v>
      </c>
      <c r="I133" t="s">
        <v>27</v>
      </c>
      <c r="J133" t="s">
        <v>68</v>
      </c>
      <c r="K133">
        <v>1</v>
      </c>
      <c r="L133">
        <v>81</v>
      </c>
      <c r="M133" t="s">
        <v>29</v>
      </c>
      <c r="N133" t="s">
        <v>43</v>
      </c>
    </row>
    <row r="134" spans="1:14" x14ac:dyDescent="0.3">
      <c r="A134">
        <v>28323079</v>
      </c>
      <c r="B134" t="s">
        <v>203</v>
      </c>
      <c r="C134" t="s">
        <v>70</v>
      </c>
      <c r="D134" s="1">
        <v>45284</v>
      </c>
      <c r="E134">
        <v>13552</v>
      </c>
      <c r="F134" t="s">
        <v>16</v>
      </c>
      <c r="G134" t="s">
        <v>17</v>
      </c>
      <c r="H134" t="s">
        <v>62</v>
      </c>
      <c r="I134" t="s">
        <v>19</v>
      </c>
      <c r="J134" t="s">
        <v>41</v>
      </c>
      <c r="K134">
        <v>1</v>
      </c>
      <c r="L134">
        <v>21</v>
      </c>
      <c r="M134" t="s">
        <v>58</v>
      </c>
      <c r="N134" t="s">
        <v>46</v>
      </c>
    </row>
    <row r="135" spans="1:14" x14ac:dyDescent="0.3">
      <c r="A135">
        <v>28074472</v>
      </c>
      <c r="B135" t="s">
        <v>204</v>
      </c>
      <c r="C135" t="s">
        <v>45</v>
      </c>
      <c r="D135" s="1">
        <v>45430</v>
      </c>
      <c r="E135">
        <v>19447</v>
      </c>
      <c r="F135" t="s">
        <v>61</v>
      </c>
      <c r="G135" t="s">
        <v>71</v>
      </c>
      <c r="H135" t="s">
        <v>26</v>
      </c>
      <c r="I135" t="s">
        <v>72</v>
      </c>
      <c r="J135" t="s">
        <v>79</v>
      </c>
      <c r="K135">
        <v>0</v>
      </c>
      <c r="L135">
        <v>60</v>
      </c>
      <c r="M135" t="s">
        <v>29</v>
      </c>
      <c r="N135" t="s">
        <v>63</v>
      </c>
    </row>
    <row r="136" spans="1:14" x14ac:dyDescent="0.3">
      <c r="A136">
        <v>67323481</v>
      </c>
      <c r="B136" t="s">
        <v>205</v>
      </c>
      <c r="C136" t="s">
        <v>24</v>
      </c>
      <c r="D136" s="1">
        <v>45461</v>
      </c>
      <c r="E136">
        <v>7856</v>
      </c>
      <c r="F136" t="s">
        <v>39</v>
      </c>
      <c r="G136" t="s">
        <v>32</v>
      </c>
      <c r="H136" t="s">
        <v>33</v>
      </c>
      <c r="I136" t="s">
        <v>72</v>
      </c>
      <c r="J136" t="s">
        <v>28</v>
      </c>
      <c r="K136">
        <v>0</v>
      </c>
      <c r="L136">
        <v>77</v>
      </c>
      <c r="M136" t="s">
        <v>47</v>
      </c>
      <c r="N136" t="s">
        <v>87</v>
      </c>
    </row>
    <row r="137" spans="1:14" x14ac:dyDescent="0.3">
      <c r="A137">
        <v>31110526</v>
      </c>
      <c r="B137" t="s">
        <v>206</v>
      </c>
      <c r="C137" t="s">
        <v>75</v>
      </c>
      <c r="D137" s="1">
        <v>45331</v>
      </c>
      <c r="E137">
        <v>13146</v>
      </c>
      <c r="F137" t="s">
        <v>39</v>
      </c>
      <c r="G137" t="s">
        <v>17</v>
      </c>
      <c r="H137" t="s">
        <v>33</v>
      </c>
      <c r="I137" t="s">
        <v>72</v>
      </c>
      <c r="J137" t="s">
        <v>20</v>
      </c>
      <c r="K137">
        <v>1</v>
      </c>
      <c r="L137">
        <v>28</v>
      </c>
      <c r="M137" t="s">
        <v>21</v>
      </c>
      <c r="N137" t="s">
        <v>36</v>
      </c>
    </row>
    <row r="138" spans="1:14" x14ac:dyDescent="0.3">
      <c r="A138">
        <v>49552851</v>
      </c>
      <c r="B138" t="s">
        <v>207</v>
      </c>
      <c r="C138" t="s">
        <v>54</v>
      </c>
      <c r="D138" s="1">
        <v>45502</v>
      </c>
      <c r="E138">
        <v>15039</v>
      </c>
      <c r="F138" t="s">
        <v>39</v>
      </c>
      <c r="G138" t="s">
        <v>25</v>
      </c>
      <c r="H138" t="s">
        <v>40</v>
      </c>
      <c r="I138" t="s">
        <v>19</v>
      </c>
      <c r="J138" t="s">
        <v>68</v>
      </c>
      <c r="K138">
        <v>0</v>
      </c>
      <c r="L138">
        <v>46</v>
      </c>
      <c r="M138" t="s">
        <v>42</v>
      </c>
      <c r="N138" t="s">
        <v>63</v>
      </c>
    </row>
    <row r="139" spans="1:14" x14ac:dyDescent="0.3">
      <c r="A139">
        <v>52543004</v>
      </c>
      <c r="B139" t="s">
        <v>208</v>
      </c>
      <c r="C139" t="s">
        <v>75</v>
      </c>
      <c r="D139" s="1">
        <v>45559</v>
      </c>
      <c r="E139">
        <v>10725</v>
      </c>
      <c r="F139" t="s">
        <v>39</v>
      </c>
      <c r="G139" t="s">
        <v>32</v>
      </c>
      <c r="H139" t="s">
        <v>33</v>
      </c>
      <c r="I139" t="s">
        <v>19</v>
      </c>
      <c r="J139" t="s">
        <v>57</v>
      </c>
      <c r="K139">
        <v>0</v>
      </c>
      <c r="L139">
        <v>37</v>
      </c>
      <c r="M139" t="s">
        <v>21</v>
      </c>
      <c r="N139" t="s">
        <v>48</v>
      </c>
    </row>
    <row r="140" spans="1:14" x14ac:dyDescent="0.3">
      <c r="A140">
        <v>85124381</v>
      </c>
      <c r="B140" t="s">
        <v>209</v>
      </c>
      <c r="C140" t="s">
        <v>15</v>
      </c>
      <c r="D140" s="1">
        <v>45595</v>
      </c>
      <c r="E140">
        <v>3216</v>
      </c>
      <c r="F140" t="s">
        <v>39</v>
      </c>
      <c r="G140" t="s">
        <v>25</v>
      </c>
      <c r="H140" t="s">
        <v>56</v>
      </c>
      <c r="I140" t="s">
        <v>19</v>
      </c>
      <c r="J140" t="s">
        <v>57</v>
      </c>
      <c r="K140">
        <v>0</v>
      </c>
      <c r="L140">
        <v>77</v>
      </c>
      <c r="M140" t="s">
        <v>21</v>
      </c>
      <c r="N140" t="s">
        <v>22</v>
      </c>
    </row>
    <row r="141" spans="1:14" x14ac:dyDescent="0.3">
      <c r="A141">
        <v>42494131</v>
      </c>
      <c r="B141" t="s">
        <v>210</v>
      </c>
      <c r="C141" t="s">
        <v>15</v>
      </c>
      <c r="D141" s="1">
        <v>45384</v>
      </c>
      <c r="E141">
        <v>14502</v>
      </c>
      <c r="F141" t="s">
        <v>16</v>
      </c>
      <c r="G141" t="s">
        <v>17</v>
      </c>
      <c r="H141" t="s">
        <v>62</v>
      </c>
      <c r="I141" t="s">
        <v>72</v>
      </c>
      <c r="J141" t="s">
        <v>57</v>
      </c>
      <c r="K141">
        <v>0</v>
      </c>
      <c r="L141">
        <v>59</v>
      </c>
      <c r="M141" t="s">
        <v>47</v>
      </c>
      <c r="N141" t="s">
        <v>48</v>
      </c>
    </row>
    <row r="142" spans="1:14" x14ac:dyDescent="0.3">
      <c r="A142">
        <v>47972186</v>
      </c>
      <c r="B142" t="s">
        <v>211</v>
      </c>
      <c r="C142" t="s">
        <v>101</v>
      </c>
      <c r="D142" s="1">
        <v>45621</v>
      </c>
      <c r="E142">
        <v>4168</v>
      </c>
      <c r="F142" t="s">
        <v>50</v>
      </c>
      <c r="G142" t="s">
        <v>17</v>
      </c>
      <c r="H142" t="s">
        <v>103</v>
      </c>
      <c r="I142" t="s">
        <v>34</v>
      </c>
      <c r="J142" t="s">
        <v>20</v>
      </c>
      <c r="K142">
        <v>0</v>
      </c>
      <c r="L142">
        <v>39</v>
      </c>
      <c r="M142" t="s">
        <v>21</v>
      </c>
      <c r="N142" t="s">
        <v>87</v>
      </c>
    </row>
    <row r="143" spans="1:14" x14ac:dyDescent="0.3">
      <c r="A143">
        <v>78953912</v>
      </c>
      <c r="B143" t="s">
        <v>212</v>
      </c>
      <c r="C143" t="s">
        <v>15</v>
      </c>
      <c r="D143" s="1">
        <v>45395</v>
      </c>
      <c r="E143">
        <v>23256</v>
      </c>
      <c r="F143" t="s">
        <v>61</v>
      </c>
      <c r="G143" t="s">
        <v>55</v>
      </c>
      <c r="H143" t="s">
        <v>33</v>
      </c>
      <c r="I143" t="s">
        <v>27</v>
      </c>
      <c r="J143" t="s">
        <v>57</v>
      </c>
      <c r="K143">
        <v>0</v>
      </c>
      <c r="L143">
        <v>29</v>
      </c>
      <c r="M143" t="s">
        <v>21</v>
      </c>
      <c r="N143" t="s">
        <v>46</v>
      </c>
    </row>
    <row r="144" spans="1:14" x14ac:dyDescent="0.3">
      <c r="A144">
        <v>10869922</v>
      </c>
      <c r="B144" t="s">
        <v>213</v>
      </c>
      <c r="C144" t="s">
        <v>38</v>
      </c>
      <c r="D144" s="1">
        <v>45512</v>
      </c>
      <c r="E144">
        <v>22616</v>
      </c>
      <c r="F144" t="s">
        <v>39</v>
      </c>
      <c r="G144" t="s">
        <v>55</v>
      </c>
      <c r="H144" t="s">
        <v>46</v>
      </c>
      <c r="I144" t="s">
        <v>72</v>
      </c>
      <c r="J144" t="s">
        <v>35</v>
      </c>
      <c r="K144">
        <v>0</v>
      </c>
      <c r="L144">
        <v>67</v>
      </c>
      <c r="M144" t="s">
        <v>21</v>
      </c>
      <c r="N144" t="s">
        <v>59</v>
      </c>
    </row>
    <row r="145" spans="1:14" x14ac:dyDescent="0.3">
      <c r="A145">
        <v>12113217</v>
      </c>
      <c r="B145" t="s">
        <v>214</v>
      </c>
      <c r="C145" t="s">
        <v>24</v>
      </c>
      <c r="D145" s="1">
        <v>45608</v>
      </c>
      <c r="E145">
        <v>23656</v>
      </c>
      <c r="F145" t="s">
        <v>16</v>
      </c>
      <c r="G145" t="s">
        <v>17</v>
      </c>
      <c r="H145" t="s">
        <v>51</v>
      </c>
      <c r="I145" t="s">
        <v>34</v>
      </c>
      <c r="J145" t="s">
        <v>41</v>
      </c>
      <c r="K145">
        <v>0</v>
      </c>
      <c r="L145">
        <v>45</v>
      </c>
      <c r="M145" t="s">
        <v>21</v>
      </c>
      <c r="N145" t="s">
        <v>87</v>
      </c>
    </row>
    <row r="146" spans="1:14" x14ac:dyDescent="0.3">
      <c r="A146">
        <v>39463165</v>
      </c>
      <c r="B146" t="s">
        <v>215</v>
      </c>
      <c r="C146" t="s">
        <v>31</v>
      </c>
      <c r="D146" s="1">
        <v>45500</v>
      </c>
      <c r="E146">
        <v>11634</v>
      </c>
      <c r="F146" t="s">
        <v>16</v>
      </c>
      <c r="G146" t="s">
        <v>32</v>
      </c>
      <c r="H146" t="s">
        <v>81</v>
      </c>
      <c r="I146" t="s">
        <v>34</v>
      </c>
      <c r="J146" t="s">
        <v>41</v>
      </c>
      <c r="K146">
        <v>0</v>
      </c>
      <c r="L146">
        <v>37</v>
      </c>
      <c r="M146" t="s">
        <v>29</v>
      </c>
      <c r="N146" t="s">
        <v>46</v>
      </c>
    </row>
    <row r="147" spans="1:14" x14ac:dyDescent="0.3">
      <c r="A147">
        <v>10510765</v>
      </c>
      <c r="B147" t="s">
        <v>216</v>
      </c>
      <c r="C147" t="s">
        <v>70</v>
      </c>
      <c r="D147" s="1">
        <v>45403</v>
      </c>
      <c r="E147">
        <v>4153</v>
      </c>
      <c r="F147" t="s">
        <v>61</v>
      </c>
      <c r="G147" t="s">
        <v>55</v>
      </c>
      <c r="H147" t="s">
        <v>18</v>
      </c>
      <c r="I147" t="s">
        <v>27</v>
      </c>
      <c r="J147" t="s">
        <v>85</v>
      </c>
      <c r="K147">
        <v>0</v>
      </c>
      <c r="L147">
        <v>19</v>
      </c>
      <c r="M147" t="s">
        <v>29</v>
      </c>
      <c r="N147" t="s">
        <v>87</v>
      </c>
    </row>
    <row r="148" spans="1:14" x14ac:dyDescent="0.3">
      <c r="A148">
        <v>63180732</v>
      </c>
      <c r="B148" t="s">
        <v>217</v>
      </c>
      <c r="C148" t="s">
        <v>38</v>
      </c>
      <c r="D148" s="1">
        <v>45512</v>
      </c>
      <c r="E148">
        <v>14305</v>
      </c>
      <c r="F148" t="s">
        <v>39</v>
      </c>
      <c r="G148" t="s">
        <v>32</v>
      </c>
      <c r="H148" t="s">
        <v>18</v>
      </c>
      <c r="I148" t="s">
        <v>34</v>
      </c>
      <c r="J148" t="s">
        <v>85</v>
      </c>
      <c r="K148">
        <v>0</v>
      </c>
      <c r="L148">
        <v>52</v>
      </c>
      <c r="M148" t="s">
        <v>21</v>
      </c>
      <c r="N148" t="s">
        <v>48</v>
      </c>
    </row>
    <row r="149" spans="1:14" x14ac:dyDescent="0.3">
      <c r="A149">
        <v>37948619</v>
      </c>
      <c r="B149" t="s">
        <v>218</v>
      </c>
      <c r="C149" t="s">
        <v>54</v>
      </c>
      <c r="D149" s="1">
        <v>45279</v>
      </c>
      <c r="E149">
        <v>6632</v>
      </c>
      <c r="F149" t="s">
        <v>61</v>
      </c>
      <c r="G149" t="s">
        <v>71</v>
      </c>
      <c r="H149" t="s">
        <v>56</v>
      </c>
      <c r="I149" t="s">
        <v>34</v>
      </c>
      <c r="J149" t="s">
        <v>41</v>
      </c>
      <c r="K149">
        <v>1</v>
      </c>
      <c r="L149">
        <v>11</v>
      </c>
      <c r="M149" t="s">
        <v>21</v>
      </c>
      <c r="N149" t="s">
        <v>59</v>
      </c>
    </row>
    <row r="150" spans="1:14" x14ac:dyDescent="0.3">
      <c r="A150">
        <v>67851025</v>
      </c>
      <c r="B150" t="s">
        <v>219</v>
      </c>
      <c r="C150" t="s">
        <v>54</v>
      </c>
      <c r="D150" s="1">
        <v>45361</v>
      </c>
      <c r="E150">
        <v>1017</v>
      </c>
      <c r="F150" t="s">
        <v>61</v>
      </c>
      <c r="G150" t="s">
        <v>32</v>
      </c>
      <c r="H150" t="s">
        <v>18</v>
      </c>
      <c r="I150" t="s">
        <v>27</v>
      </c>
      <c r="J150" t="s">
        <v>79</v>
      </c>
      <c r="K150">
        <v>1</v>
      </c>
      <c r="L150">
        <v>70</v>
      </c>
      <c r="M150" t="s">
        <v>65</v>
      </c>
      <c r="N150" t="s">
        <v>22</v>
      </c>
    </row>
    <row r="151" spans="1:14" x14ac:dyDescent="0.3">
      <c r="A151">
        <v>19485119</v>
      </c>
      <c r="B151" t="s">
        <v>220</v>
      </c>
      <c r="C151" t="s">
        <v>101</v>
      </c>
      <c r="D151" s="1">
        <v>45634</v>
      </c>
      <c r="E151">
        <v>18342</v>
      </c>
      <c r="F151" t="s">
        <v>50</v>
      </c>
      <c r="G151" t="s">
        <v>32</v>
      </c>
      <c r="H151" t="s">
        <v>103</v>
      </c>
      <c r="I151" t="s">
        <v>34</v>
      </c>
      <c r="J151" t="s">
        <v>41</v>
      </c>
      <c r="K151">
        <v>1</v>
      </c>
      <c r="L151">
        <v>82</v>
      </c>
      <c r="M151" t="s">
        <v>42</v>
      </c>
      <c r="N151" t="s">
        <v>59</v>
      </c>
    </row>
    <row r="152" spans="1:14" x14ac:dyDescent="0.3">
      <c r="A152">
        <v>78596115</v>
      </c>
      <c r="B152" t="s">
        <v>221</v>
      </c>
      <c r="C152" t="s">
        <v>75</v>
      </c>
      <c r="D152" s="1">
        <v>45366</v>
      </c>
      <c r="E152">
        <v>4089</v>
      </c>
      <c r="F152" t="s">
        <v>39</v>
      </c>
      <c r="G152" t="s">
        <v>71</v>
      </c>
      <c r="H152" t="s">
        <v>26</v>
      </c>
      <c r="I152" t="s">
        <v>19</v>
      </c>
      <c r="J152" t="s">
        <v>68</v>
      </c>
      <c r="K152">
        <v>1</v>
      </c>
      <c r="L152">
        <v>95</v>
      </c>
      <c r="M152" t="s">
        <v>42</v>
      </c>
      <c r="N152" t="s">
        <v>87</v>
      </c>
    </row>
    <row r="153" spans="1:14" x14ac:dyDescent="0.3">
      <c r="A153">
        <v>97579806</v>
      </c>
      <c r="B153" t="s">
        <v>222</v>
      </c>
      <c r="C153" t="s">
        <v>31</v>
      </c>
      <c r="D153" s="1">
        <v>45376</v>
      </c>
      <c r="E153">
        <v>4161</v>
      </c>
      <c r="F153" t="s">
        <v>39</v>
      </c>
      <c r="G153" t="s">
        <v>32</v>
      </c>
      <c r="H153" t="s">
        <v>26</v>
      </c>
      <c r="I153" t="s">
        <v>72</v>
      </c>
      <c r="J153" t="s">
        <v>79</v>
      </c>
      <c r="K153">
        <v>0</v>
      </c>
      <c r="L153">
        <v>33</v>
      </c>
      <c r="M153" t="s">
        <v>21</v>
      </c>
      <c r="N153" t="s">
        <v>46</v>
      </c>
    </row>
    <row r="154" spans="1:14" x14ac:dyDescent="0.3">
      <c r="A154">
        <v>73506109</v>
      </c>
      <c r="B154" t="s">
        <v>223</v>
      </c>
      <c r="C154" t="s">
        <v>24</v>
      </c>
      <c r="D154" s="1">
        <v>45387</v>
      </c>
      <c r="E154">
        <v>5594</v>
      </c>
      <c r="F154" t="s">
        <v>61</v>
      </c>
      <c r="G154" t="s">
        <v>32</v>
      </c>
      <c r="H154" t="s">
        <v>103</v>
      </c>
      <c r="I154" t="s">
        <v>34</v>
      </c>
      <c r="J154" t="s">
        <v>20</v>
      </c>
      <c r="K154">
        <v>0</v>
      </c>
      <c r="L154">
        <v>55</v>
      </c>
      <c r="M154" t="s">
        <v>29</v>
      </c>
      <c r="N154" t="s">
        <v>36</v>
      </c>
    </row>
    <row r="155" spans="1:14" x14ac:dyDescent="0.3">
      <c r="A155">
        <v>13543144</v>
      </c>
      <c r="B155" t="s">
        <v>224</v>
      </c>
      <c r="C155" t="s">
        <v>101</v>
      </c>
      <c r="D155" s="1">
        <v>45431</v>
      </c>
      <c r="E155">
        <v>7364</v>
      </c>
      <c r="F155" t="s">
        <v>39</v>
      </c>
      <c r="G155" t="s">
        <v>32</v>
      </c>
      <c r="H155" t="s">
        <v>56</v>
      </c>
      <c r="I155" t="s">
        <v>34</v>
      </c>
      <c r="J155" t="s">
        <v>35</v>
      </c>
      <c r="K155">
        <v>0</v>
      </c>
      <c r="L155">
        <v>88</v>
      </c>
      <c r="M155" t="s">
        <v>65</v>
      </c>
      <c r="N155" t="s">
        <v>87</v>
      </c>
    </row>
    <row r="156" spans="1:14" x14ac:dyDescent="0.3">
      <c r="A156">
        <v>79487668</v>
      </c>
      <c r="B156" t="s">
        <v>225</v>
      </c>
      <c r="C156" t="s">
        <v>15</v>
      </c>
      <c r="D156" s="1">
        <v>45445</v>
      </c>
      <c r="E156">
        <v>19463</v>
      </c>
      <c r="F156" t="s">
        <v>61</v>
      </c>
      <c r="G156" t="s">
        <v>71</v>
      </c>
      <c r="H156" t="s">
        <v>46</v>
      </c>
      <c r="I156" t="s">
        <v>34</v>
      </c>
      <c r="J156" t="s">
        <v>52</v>
      </c>
      <c r="K156">
        <v>0</v>
      </c>
      <c r="L156">
        <v>28</v>
      </c>
      <c r="M156" t="s">
        <v>65</v>
      </c>
      <c r="N156" t="s">
        <v>89</v>
      </c>
    </row>
    <row r="157" spans="1:14" x14ac:dyDescent="0.3">
      <c r="A157">
        <v>27833354</v>
      </c>
      <c r="B157" t="s">
        <v>226</v>
      </c>
      <c r="C157" t="s">
        <v>24</v>
      </c>
      <c r="D157" s="1">
        <v>45323</v>
      </c>
      <c r="E157">
        <v>22622</v>
      </c>
      <c r="F157" t="s">
        <v>50</v>
      </c>
      <c r="G157" t="s">
        <v>71</v>
      </c>
      <c r="H157" t="s">
        <v>81</v>
      </c>
      <c r="I157" t="s">
        <v>27</v>
      </c>
      <c r="J157" t="s">
        <v>28</v>
      </c>
      <c r="K157">
        <v>1</v>
      </c>
      <c r="L157">
        <v>19</v>
      </c>
      <c r="M157" t="s">
        <v>58</v>
      </c>
      <c r="N157" t="s">
        <v>36</v>
      </c>
    </row>
    <row r="158" spans="1:14" x14ac:dyDescent="0.3">
      <c r="A158">
        <v>61339463</v>
      </c>
      <c r="B158" t="s">
        <v>227</v>
      </c>
      <c r="C158" t="s">
        <v>38</v>
      </c>
      <c r="D158" s="1">
        <v>45544</v>
      </c>
      <c r="E158">
        <v>2026</v>
      </c>
      <c r="F158" t="s">
        <v>16</v>
      </c>
      <c r="G158" t="s">
        <v>32</v>
      </c>
      <c r="H158" t="s">
        <v>18</v>
      </c>
      <c r="I158" t="s">
        <v>27</v>
      </c>
      <c r="J158" t="s">
        <v>41</v>
      </c>
      <c r="K158">
        <v>0</v>
      </c>
      <c r="L158">
        <v>64</v>
      </c>
      <c r="M158" t="s">
        <v>29</v>
      </c>
      <c r="N158" t="s">
        <v>43</v>
      </c>
    </row>
    <row r="159" spans="1:14" x14ac:dyDescent="0.3">
      <c r="A159">
        <v>72726544</v>
      </c>
      <c r="B159" t="s">
        <v>228</v>
      </c>
      <c r="C159" t="s">
        <v>54</v>
      </c>
      <c r="D159" s="1">
        <v>45431</v>
      </c>
      <c r="E159">
        <v>6900</v>
      </c>
      <c r="F159" t="s">
        <v>61</v>
      </c>
      <c r="G159" t="s">
        <v>25</v>
      </c>
      <c r="H159" t="s">
        <v>51</v>
      </c>
      <c r="I159" t="s">
        <v>19</v>
      </c>
      <c r="J159" t="s">
        <v>79</v>
      </c>
      <c r="K159">
        <v>0</v>
      </c>
      <c r="L159">
        <v>91</v>
      </c>
      <c r="M159" t="s">
        <v>58</v>
      </c>
      <c r="N159" t="s">
        <v>46</v>
      </c>
    </row>
    <row r="160" spans="1:14" x14ac:dyDescent="0.3">
      <c r="A160">
        <v>33650131</v>
      </c>
      <c r="B160" t="s">
        <v>229</v>
      </c>
      <c r="C160" t="s">
        <v>38</v>
      </c>
      <c r="D160" s="1">
        <v>45314</v>
      </c>
      <c r="E160">
        <v>1239</v>
      </c>
      <c r="F160" t="s">
        <v>39</v>
      </c>
      <c r="G160" t="s">
        <v>32</v>
      </c>
      <c r="H160" t="s">
        <v>56</v>
      </c>
      <c r="I160" t="s">
        <v>72</v>
      </c>
      <c r="J160" t="s">
        <v>41</v>
      </c>
      <c r="K160">
        <v>0</v>
      </c>
      <c r="L160">
        <v>42</v>
      </c>
      <c r="M160" t="s">
        <v>47</v>
      </c>
      <c r="N160" t="s">
        <v>63</v>
      </c>
    </row>
    <row r="161" spans="1:14" x14ac:dyDescent="0.3">
      <c r="A161">
        <v>16505245</v>
      </c>
      <c r="B161" t="s">
        <v>230</v>
      </c>
      <c r="C161" t="s">
        <v>54</v>
      </c>
      <c r="D161" s="1">
        <v>45576</v>
      </c>
      <c r="E161">
        <v>1166</v>
      </c>
      <c r="F161" t="s">
        <v>61</v>
      </c>
      <c r="G161" t="s">
        <v>17</v>
      </c>
      <c r="H161" t="s">
        <v>81</v>
      </c>
      <c r="I161" t="s">
        <v>27</v>
      </c>
      <c r="J161" t="s">
        <v>52</v>
      </c>
      <c r="K161">
        <v>1</v>
      </c>
      <c r="L161">
        <v>74</v>
      </c>
      <c r="M161" t="s">
        <v>65</v>
      </c>
      <c r="N161" t="s">
        <v>36</v>
      </c>
    </row>
    <row r="162" spans="1:14" x14ac:dyDescent="0.3">
      <c r="A162">
        <v>51331760</v>
      </c>
      <c r="B162" t="s">
        <v>231</v>
      </c>
      <c r="C162" t="s">
        <v>70</v>
      </c>
      <c r="D162" s="1">
        <v>45629</v>
      </c>
      <c r="E162">
        <v>13248</v>
      </c>
      <c r="F162" t="s">
        <v>39</v>
      </c>
      <c r="G162" t="s">
        <v>55</v>
      </c>
      <c r="H162" t="s">
        <v>62</v>
      </c>
      <c r="I162" t="s">
        <v>34</v>
      </c>
      <c r="J162" t="s">
        <v>68</v>
      </c>
      <c r="K162">
        <v>0</v>
      </c>
      <c r="L162">
        <v>68</v>
      </c>
      <c r="M162" t="s">
        <v>42</v>
      </c>
      <c r="N162" t="s">
        <v>36</v>
      </c>
    </row>
    <row r="163" spans="1:14" x14ac:dyDescent="0.3">
      <c r="A163">
        <v>62791884</v>
      </c>
      <c r="B163" t="s">
        <v>232</v>
      </c>
      <c r="C163" t="s">
        <v>77</v>
      </c>
      <c r="D163" s="1">
        <v>45354</v>
      </c>
      <c r="E163">
        <v>795</v>
      </c>
      <c r="F163" t="s">
        <v>61</v>
      </c>
      <c r="G163" t="s">
        <v>25</v>
      </c>
      <c r="H163" t="s">
        <v>56</v>
      </c>
      <c r="I163" t="s">
        <v>27</v>
      </c>
      <c r="J163" t="s">
        <v>57</v>
      </c>
      <c r="K163">
        <v>0</v>
      </c>
      <c r="L163">
        <v>95</v>
      </c>
      <c r="M163" t="s">
        <v>58</v>
      </c>
      <c r="N163" t="s">
        <v>63</v>
      </c>
    </row>
    <row r="164" spans="1:14" x14ac:dyDescent="0.3">
      <c r="A164">
        <v>17071283</v>
      </c>
      <c r="B164" t="s">
        <v>233</v>
      </c>
      <c r="C164" t="s">
        <v>45</v>
      </c>
      <c r="D164" s="1">
        <v>45333</v>
      </c>
      <c r="E164">
        <v>21466</v>
      </c>
      <c r="F164" t="s">
        <v>39</v>
      </c>
      <c r="G164" t="s">
        <v>17</v>
      </c>
      <c r="H164" t="s">
        <v>33</v>
      </c>
      <c r="I164" t="s">
        <v>27</v>
      </c>
      <c r="J164" t="s">
        <v>85</v>
      </c>
      <c r="K164">
        <v>0</v>
      </c>
      <c r="L164">
        <v>53</v>
      </c>
      <c r="M164" t="s">
        <v>47</v>
      </c>
      <c r="N164" t="s">
        <v>43</v>
      </c>
    </row>
    <row r="165" spans="1:14" x14ac:dyDescent="0.3">
      <c r="A165">
        <v>57808916</v>
      </c>
      <c r="B165" t="s">
        <v>234</v>
      </c>
      <c r="C165" t="s">
        <v>70</v>
      </c>
      <c r="D165" s="1">
        <v>45309</v>
      </c>
      <c r="E165">
        <v>2963</v>
      </c>
      <c r="F165" t="s">
        <v>16</v>
      </c>
      <c r="G165" t="s">
        <v>32</v>
      </c>
      <c r="H165" t="s">
        <v>26</v>
      </c>
      <c r="I165" t="s">
        <v>19</v>
      </c>
      <c r="J165" t="s">
        <v>28</v>
      </c>
      <c r="K165">
        <v>1</v>
      </c>
      <c r="L165">
        <v>26</v>
      </c>
      <c r="M165" t="s">
        <v>42</v>
      </c>
      <c r="N165" t="s">
        <v>48</v>
      </c>
    </row>
    <row r="166" spans="1:14" x14ac:dyDescent="0.3">
      <c r="A166">
        <v>72938283</v>
      </c>
      <c r="B166" t="s">
        <v>235</v>
      </c>
      <c r="C166" t="s">
        <v>77</v>
      </c>
      <c r="D166" s="1">
        <v>45601</v>
      </c>
      <c r="E166">
        <v>8416</v>
      </c>
      <c r="F166" t="s">
        <v>39</v>
      </c>
      <c r="G166" t="s">
        <v>25</v>
      </c>
      <c r="H166" t="s">
        <v>81</v>
      </c>
      <c r="I166" t="s">
        <v>34</v>
      </c>
      <c r="J166" t="s">
        <v>35</v>
      </c>
      <c r="K166">
        <v>0</v>
      </c>
      <c r="L166">
        <v>69</v>
      </c>
      <c r="M166" t="s">
        <v>21</v>
      </c>
      <c r="N166" t="s">
        <v>89</v>
      </c>
    </row>
    <row r="167" spans="1:14" x14ac:dyDescent="0.3">
      <c r="A167">
        <v>92838292</v>
      </c>
      <c r="B167" t="s">
        <v>236</v>
      </c>
      <c r="C167" t="s">
        <v>45</v>
      </c>
      <c r="D167" s="1">
        <v>45344</v>
      </c>
      <c r="E167">
        <v>5973</v>
      </c>
      <c r="F167" t="s">
        <v>61</v>
      </c>
      <c r="G167" t="s">
        <v>17</v>
      </c>
      <c r="H167" t="s">
        <v>56</v>
      </c>
      <c r="I167" t="s">
        <v>72</v>
      </c>
      <c r="J167" t="s">
        <v>41</v>
      </c>
      <c r="K167">
        <v>0</v>
      </c>
      <c r="L167">
        <v>74</v>
      </c>
      <c r="M167" t="s">
        <v>42</v>
      </c>
      <c r="N167" t="s">
        <v>43</v>
      </c>
    </row>
    <row r="168" spans="1:14" x14ac:dyDescent="0.3">
      <c r="A168">
        <v>49919079</v>
      </c>
      <c r="B168" t="s">
        <v>237</v>
      </c>
      <c r="C168" t="s">
        <v>24</v>
      </c>
      <c r="D168" s="1">
        <v>45443</v>
      </c>
      <c r="E168">
        <v>10815</v>
      </c>
      <c r="F168" t="s">
        <v>16</v>
      </c>
      <c r="G168" t="s">
        <v>17</v>
      </c>
      <c r="H168" t="s">
        <v>103</v>
      </c>
      <c r="I168" t="s">
        <v>19</v>
      </c>
      <c r="J168" t="s">
        <v>41</v>
      </c>
      <c r="K168">
        <v>0</v>
      </c>
      <c r="L168">
        <v>69</v>
      </c>
      <c r="M168" t="s">
        <v>65</v>
      </c>
      <c r="N168" t="s">
        <v>46</v>
      </c>
    </row>
    <row r="169" spans="1:14" x14ac:dyDescent="0.3">
      <c r="A169">
        <v>51546530</v>
      </c>
      <c r="B169" t="s">
        <v>238</v>
      </c>
      <c r="C169" t="s">
        <v>24</v>
      </c>
      <c r="D169" s="1">
        <v>45636</v>
      </c>
      <c r="E169">
        <v>15064</v>
      </c>
      <c r="F169" t="s">
        <v>61</v>
      </c>
      <c r="G169" t="s">
        <v>55</v>
      </c>
      <c r="H169" t="s">
        <v>56</v>
      </c>
      <c r="I169" t="s">
        <v>27</v>
      </c>
      <c r="J169" t="s">
        <v>68</v>
      </c>
      <c r="K169">
        <v>1</v>
      </c>
      <c r="L169">
        <v>81</v>
      </c>
      <c r="M169" t="s">
        <v>21</v>
      </c>
      <c r="N169" t="s">
        <v>73</v>
      </c>
    </row>
    <row r="170" spans="1:14" x14ac:dyDescent="0.3">
      <c r="A170">
        <v>29629444</v>
      </c>
      <c r="B170" t="s">
        <v>239</v>
      </c>
      <c r="C170" t="s">
        <v>54</v>
      </c>
      <c r="D170" s="1">
        <v>45564</v>
      </c>
      <c r="E170">
        <v>801</v>
      </c>
      <c r="F170" t="s">
        <v>39</v>
      </c>
      <c r="G170" t="s">
        <v>17</v>
      </c>
      <c r="H170" t="s">
        <v>26</v>
      </c>
      <c r="I170" t="s">
        <v>27</v>
      </c>
      <c r="J170" t="s">
        <v>52</v>
      </c>
      <c r="K170">
        <v>1</v>
      </c>
      <c r="L170">
        <v>42</v>
      </c>
      <c r="M170" t="s">
        <v>65</v>
      </c>
      <c r="N170" t="s">
        <v>36</v>
      </c>
    </row>
    <row r="171" spans="1:14" x14ac:dyDescent="0.3">
      <c r="A171">
        <v>79096625</v>
      </c>
      <c r="B171" t="s">
        <v>240</v>
      </c>
      <c r="C171" t="s">
        <v>31</v>
      </c>
      <c r="D171" s="1">
        <v>45481</v>
      </c>
      <c r="E171">
        <v>17208</v>
      </c>
      <c r="F171" t="s">
        <v>39</v>
      </c>
      <c r="G171" t="s">
        <v>17</v>
      </c>
      <c r="H171" t="s">
        <v>62</v>
      </c>
      <c r="I171" t="s">
        <v>19</v>
      </c>
      <c r="J171" t="s">
        <v>41</v>
      </c>
      <c r="K171">
        <v>0</v>
      </c>
      <c r="L171">
        <v>63</v>
      </c>
      <c r="M171" t="s">
        <v>29</v>
      </c>
      <c r="N171" t="s">
        <v>43</v>
      </c>
    </row>
    <row r="172" spans="1:14" x14ac:dyDescent="0.3">
      <c r="A172">
        <v>36102806</v>
      </c>
      <c r="B172" t="s">
        <v>241</v>
      </c>
      <c r="C172" t="s">
        <v>75</v>
      </c>
      <c r="D172" s="1">
        <v>45617</v>
      </c>
      <c r="E172">
        <v>20075</v>
      </c>
      <c r="F172" t="s">
        <v>39</v>
      </c>
      <c r="G172" t="s">
        <v>17</v>
      </c>
      <c r="H172" t="s">
        <v>26</v>
      </c>
      <c r="I172" t="s">
        <v>72</v>
      </c>
      <c r="J172" t="s">
        <v>85</v>
      </c>
      <c r="K172">
        <v>0</v>
      </c>
      <c r="L172">
        <v>40</v>
      </c>
      <c r="M172" t="s">
        <v>47</v>
      </c>
      <c r="N172" t="s">
        <v>73</v>
      </c>
    </row>
    <row r="173" spans="1:14" x14ac:dyDescent="0.3">
      <c r="A173">
        <v>54066013</v>
      </c>
      <c r="B173" t="s">
        <v>242</v>
      </c>
      <c r="C173" t="s">
        <v>24</v>
      </c>
      <c r="D173" s="1">
        <v>45481</v>
      </c>
      <c r="E173">
        <v>6438</v>
      </c>
      <c r="F173" t="s">
        <v>39</v>
      </c>
      <c r="G173" t="s">
        <v>32</v>
      </c>
      <c r="H173" t="s">
        <v>26</v>
      </c>
      <c r="I173" t="s">
        <v>19</v>
      </c>
      <c r="J173" t="s">
        <v>28</v>
      </c>
      <c r="K173">
        <v>0</v>
      </c>
      <c r="L173">
        <v>89</v>
      </c>
      <c r="M173" t="s">
        <v>47</v>
      </c>
      <c r="N173" t="s">
        <v>63</v>
      </c>
    </row>
    <row r="174" spans="1:14" x14ac:dyDescent="0.3">
      <c r="A174">
        <v>57860400</v>
      </c>
      <c r="B174" t="s">
        <v>243</v>
      </c>
      <c r="C174" t="s">
        <v>15</v>
      </c>
      <c r="D174" s="1">
        <v>45623</v>
      </c>
      <c r="E174">
        <v>5031</v>
      </c>
      <c r="F174" t="s">
        <v>16</v>
      </c>
      <c r="G174" t="s">
        <v>17</v>
      </c>
      <c r="H174" t="s">
        <v>103</v>
      </c>
      <c r="I174" t="s">
        <v>19</v>
      </c>
      <c r="J174" t="s">
        <v>35</v>
      </c>
      <c r="K174">
        <v>1</v>
      </c>
      <c r="L174">
        <v>10</v>
      </c>
      <c r="M174" t="s">
        <v>47</v>
      </c>
      <c r="N174" t="s">
        <v>63</v>
      </c>
    </row>
    <row r="175" spans="1:14" x14ac:dyDescent="0.3">
      <c r="A175">
        <v>70040790</v>
      </c>
      <c r="B175" t="s">
        <v>244</v>
      </c>
      <c r="C175" t="s">
        <v>31</v>
      </c>
      <c r="D175" s="1">
        <v>45554</v>
      </c>
      <c r="E175">
        <v>252</v>
      </c>
      <c r="F175" t="s">
        <v>16</v>
      </c>
      <c r="G175" t="s">
        <v>17</v>
      </c>
      <c r="H175" t="s">
        <v>81</v>
      </c>
      <c r="I175" t="s">
        <v>72</v>
      </c>
      <c r="J175" t="s">
        <v>28</v>
      </c>
      <c r="K175">
        <v>1</v>
      </c>
      <c r="L175">
        <v>53</v>
      </c>
      <c r="M175" t="s">
        <v>42</v>
      </c>
      <c r="N175" t="s">
        <v>22</v>
      </c>
    </row>
    <row r="176" spans="1:14" x14ac:dyDescent="0.3">
      <c r="A176">
        <v>21982567</v>
      </c>
      <c r="B176" t="s">
        <v>245</v>
      </c>
      <c r="C176" t="s">
        <v>38</v>
      </c>
      <c r="D176" s="1">
        <v>45279</v>
      </c>
      <c r="E176">
        <v>14702</v>
      </c>
      <c r="F176" t="s">
        <v>39</v>
      </c>
      <c r="G176" t="s">
        <v>32</v>
      </c>
      <c r="H176" t="s">
        <v>18</v>
      </c>
      <c r="I176" t="s">
        <v>72</v>
      </c>
      <c r="J176" t="s">
        <v>79</v>
      </c>
      <c r="K176">
        <v>0</v>
      </c>
      <c r="L176">
        <v>88</v>
      </c>
      <c r="M176" t="s">
        <v>65</v>
      </c>
      <c r="N176" t="s">
        <v>63</v>
      </c>
    </row>
    <row r="177" spans="1:14" x14ac:dyDescent="0.3">
      <c r="A177">
        <v>13291091</v>
      </c>
      <c r="B177" t="s">
        <v>246</v>
      </c>
      <c r="C177" t="s">
        <v>101</v>
      </c>
      <c r="D177" s="1">
        <v>45572</v>
      </c>
      <c r="E177">
        <v>8567</v>
      </c>
      <c r="F177" t="s">
        <v>39</v>
      </c>
      <c r="G177" t="s">
        <v>71</v>
      </c>
      <c r="H177" t="s">
        <v>62</v>
      </c>
      <c r="I177" t="s">
        <v>72</v>
      </c>
      <c r="J177" t="s">
        <v>57</v>
      </c>
      <c r="K177">
        <v>0</v>
      </c>
      <c r="L177">
        <v>84</v>
      </c>
      <c r="M177" t="s">
        <v>21</v>
      </c>
      <c r="N177" t="s">
        <v>89</v>
      </c>
    </row>
    <row r="178" spans="1:14" x14ac:dyDescent="0.3">
      <c r="A178">
        <v>92630416</v>
      </c>
      <c r="B178" t="s">
        <v>247</v>
      </c>
      <c r="C178" t="s">
        <v>38</v>
      </c>
      <c r="D178" s="1">
        <v>45282</v>
      </c>
      <c r="E178">
        <v>18546</v>
      </c>
      <c r="F178" t="s">
        <v>39</v>
      </c>
      <c r="G178" t="s">
        <v>17</v>
      </c>
      <c r="H178" t="s">
        <v>56</v>
      </c>
      <c r="I178" t="s">
        <v>72</v>
      </c>
      <c r="J178" t="s">
        <v>85</v>
      </c>
      <c r="K178">
        <v>0</v>
      </c>
      <c r="L178">
        <v>20</v>
      </c>
      <c r="M178" t="s">
        <v>42</v>
      </c>
      <c r="N178" t="s">
        <v>36</v>
      </c>
    </row>
    <row r="179" spans="1:14" x14ac:dyDescent="0.3">
      <c r="A179">
        <v>85429387</v>
      </c>
      <c r="B179" t="s">
        <v>248</v>
      </c>
      <c r="C179" t="s">
        <v>75</v>
      </c>
      <c r="D179" s="1">
        <v>45640</v>
      </c>
      <c r="E179">
        <v>5015</v>
      </c>
      <c r="F179" t="s">
        <v>61</v>
      </c>
      <c r="G179" t="s">
        <v>17</v>
      </c>
      <c r="H179" t="s">
        <v>40</v>
      </c>
      <c r="I179" t="s">
        <v>34</v>
      </c>
      <c r="J179" t="s">
        <v>35</v>
      </c>
      <c r="K179">
        <v>1</v>
      </c>
      <c r="L179">
        <v>26</v>
      </c>
      <c r="M179" t="s">
        <v>47</v>
      </c>
      <c r="N179" t="s">
        <v>59</v>
      </c>
    </row>
    <row r="180" spans="1:14" x14ac:dyDescent="0.3">
      <c r="A180">
        <v>20976963</v>
      </c>
      <c r="B180" t="s">
        <v>249</v>
      </c>
      <c r="C180" t="s">
        <v>101</v>
      </c>
      <c r="D180" s="1">
        <v>45345</v>
      </c>
      <c r="E180">
        <v>13352</v>
      </c>
      <c r="F180" t="s">
        <v>61</v>
      </c>
      <c r="G180" t="s">
        <v>55</v>
      </c>
      <c r="H180" t="s">
        <v>62</v>
      </c>
      <c r="I180" t="s">
        <v>19</v>
      </c>
      <c r="J180" t="s">
        <v>41</v>
      </c>
      <c r="K180">
        <v>0</v>
      </c>
      <c r="L180">
        <v>83</v>
      </c>
      <c r="M180" t="s">
        <v>58</v>
      </c>
      <c r="N180" t="s">
        <v>43</v>
      </c>
    </row>
    <row r="181" spans="1:14" x14ac:dyDescent="0.3">
      <c r="A181">
        <v>15961665</v>
      </c>
      <c r="B181" t="s">
        <v>250</v>
      </c>
      <c r="C181" t="s">
        <v>15</v>
      </c>
      <c r="D181" s="1">
        <v>45279</v>
      </c>
      <c r="E181">
        <v>14020</v>
      </c>
      <c r="F181" t="s">
        <v>16</v>
      </c>
      <c r="G181" t="s">
        <v>32</v>
      </c>
      <c r="H181" t="s">
        <v>40</v>
      </c>
      <c r="I181" t="s">
        <v>19</v>
      </c>
      <c r="J181" t="s">
        <v>85</v>
      </c>
      <c r="K181">
        <v>0</v>
      </c>
      <c r="L181">
        <v>86</v>
      </c>
      <c r="M181" t="s">
        <v>21</v>
      </c>
      <c r="N181" t="s">
        <v>36</v>
      </c>
    </row>
    <row r="182" spans="1:14" x14ac:dyDescent="0.3">
      <c r="A182">
        <v>26896905</v>
      </c>
      <c r="B182" t="s">
        <v>251</v>
      </c>
      <c r="C182" t="s">
        <v>31</v>
      </c>
      <c r="D182" s="1">
        <v>45382</v>
      </c>
      <c r="E182">
        <v>9453</v>
      </c>
      <c r="F182" t="s">
        <v>61</v>
      </c>
      <c r="G182" t="s">
        <v>32</v>
      </c>
      <c r="H182" t="s">
        <v>56</v>
      </c>
      <c r="I182" t="s">
        <v>34</v>
      </c>
      <c r="J182" t="s">
        <v>79</v>
      </c>
      <c r="K182">
        <v>0</v>
      </c>
      <c r="L182">
        <v>15</v>
      </c>
      <c r="M182" t="s">
        <v>65</v>
      </c>
      <c r="N182" t="s">
        <v>22</v>
      </c>
    </row>
    <row r="183" spans="1:14" x14ac:dyDescent="0.3">
      <c r="A183">
        <v>28606571</v>
      </c>
      <c r="B183" t="s">
        <v>252</v>
      </c>
      <c r="C183" t="s">
        <v>24</v>
      </c>
      <c r="D183" s="1">
        <v>45383</v>
      </c>
      <c r="E183">
        <v>8565</v>
      </c>
      <c r="F183" t="s">
        <v>39</v>
      </c>
      <c r="G183" t="s">
        <v>71</v>
      </c>
      <c r="H183" t="s">
        <v>103</v>
      </c>
      <c r="I183" t="s">
        <v>19</v>
      </c>
      <c r="J183" t="s">
        <v>79</v>
      </c>
      <c r="K183">
        <v>1</v>
      </c>
      <c r="L183">
        <v>17</v>
      </c>
      <c r="M183" t="s">
        <v>42</v>
      </c>
      <c r="N183" t="s">
        <v>87</v>
      </c>
    </row>
    <row r="184" spans="1:14" x14ac:dyDescent="0.3">
      <c r="A184">
        <v>29713091</v>
      </c>
      <c r="B184" t="s">
        <v>253</v>
      </c>
      <c r="C184" t="s">
        <v>24</v>
      </c>
      <c r="D184" s="1">
        <v>45505</v>
      </c>
      <c r="E184">
        <v>5009</v>
      </c>
      <c r="F184" t="s">
        <v>16</v>
      </c>
      <c r="G184" t="s">
        <v>55</v>
      </c>
      <c r="H184" t="s">
        <v>103</v>
      </c>
      <c r="I184" t="s">
        <v>34</v>
      </c>
      <c r="J184" t="s">
        <v>68</v>
      </c>
      <c r="K184">
        <v>0</v>
      </c>
      <c r="L184">
        <v>22</v>
      </c>
      <c r="M184" t="s">
        <v>21</v>
      </c>
      <c r="N184" t="s">
        <v>48</v>
      </c>
    </row>
    <row r="185" spans="1:14" x14ac:dyDescent="0.3">
      <c r="A185">
        <v>19645801</v>
      </c>
      <c r="B185" t="s">
        <v>254</v>
      </c>
      <c r="C185" t="s">
        <v>75</v>
      </c>
      <c r="D185" s="1">
        <v>45568</v>
      </c>
      <c r="E185">
        <v>6019</v>
      </c>
      <c r="F185" t="s">
        <v>39</v>
      </c>
      <c r="G185" t="s">
        <v>71</v>
      </c>
      <c r="H185" t="s">
        <v>18</v>
      </c>
      <c r="I185" t="s">
        <v>19</v>
      </c>
      <c r="J185" t="s">
        <v>28</v>
      </c>
      <c r="K185">
        <v>0</v>
      </c>
      <c r="L185">
        <v>72</v>
      </c>
      <c r="M185" t="s">
        <v>65</v>
      </c>
      <c r="N185" t="s">
        <v>63</v>
      </c>
    </row>
    <row r="186" spans="1:14" x14ac:dyDescent="0.3">
      <c r="A186">
        <v>70121811</v>
      </c>
      <c r="B186" t="s">
        <v>255</v>
      </c>
      <c r="C186" t="s">
        <v>31</v>
      </c>
      <c r="D186" s="1">
        <v>45603</v>
      </c>
      <c r="E186">
        <v>20359</v>
      </c>
      <c r="F186" t="s">
        <v>39</v>
      </c>
      <c r="G186" t="s">
        <v>25</v>
      </c>
      <c r="H186" t="s">
        <v>51</v>
      </c>
      <c r="I186" t="s">
        <v>34</v>
      </c>
      <c r="J186" t="s">
        <v>52</v>
      </c>
      <c r="K186">
        <v>0</v>
      </c>
      <c r="L186">
        <v>26</v>
      </c>
      <c r="M186" t="s">
        <v>65</v>
      </c>
      <c r="N186" t="s">
        <v>63</v>
      </c>
    </row>
    <row r="187" spans="1:14" x14ac:dyDescent="0.3">
      <c r="A187">
        <v>95186326</v>
      </c>
      <c r="B187" t="s">
        <v>256</v>
      </c>
      <c r="C187" t="s">
        <v>24</v>
      </c>
      <c r="D187" s="1">
        <v>45502</v>
      </c>
      <c r="E187">
        <v>17599</v>
      </c>
      <c r="F187" t="s">
        <v>50</v>
      </c>
      <c r="G187" t="s">
        <v>55</v>
      </c>
      <c r="H187" t="s">
        <v>26</v>
      </c>
      <c r="I187" t="s">
        <v>34</v>
      </c>
      <c r="J187" t="s">
        <v>28</v>
      </c>
      <c r="K187">
        <v>1</v>
      </c>
      <c r="L187">
        <v>30</v>
      </c>
      <c r="M187" t="s">
        <v>47</v>
      </c>
      <c r="N187" t="s">
        <v>63</v>
      </c>
    </row>
    <row r="188" spans="1:14" x14ac:dyDescent="0.3">
      <c r="A188">
        <v>26524451</v>
      </c>
      <c r="B188" t="s">
        <v>257</v>
      </c>
      <c r="C188" t="s">
        <v>70</v>
      </c>
      <c r="D188" s="1">
        <v>45421</v>
      </c>
      <c r="E188">
        <v>3946</v>
      </c>
      <c r="F188" t="s">
        <v>16</v>
      </c>
      <c r="G188" t="s">
        <v>17</v>
      </c>
      <c r="H188" t="s">
        <v>26</v>
      </c>
      <c r="I188" t="s">
        <v>19</v>
      </c>
      <c r="J188" t="s">
        <v>79</v>
      </c>
      <c r="K188">
        <v>0</v>
      </c>
      <c r="L188">
        <v>91</v>
      </c>
      <c r="M188" t="s">
        <v>42</v>
      </c>
      <c r="N188" t="s">
        <v>89</v>
      </c>
    </row>
    <row r="189" spans="1:14" x14ac:dyDescent="0.3">
      <c r="A189">
        <v>93307574</v>
      </c>
      <c r="B189" t="s">
        <v>258</v>
      </c>
      <c r="C189" t="s">
        <v>75</v>
      </c>
      <c r="D189" s="1">
        <v>45534</v>
      </c>
      <c r="E189">
        <v>14755</v>
      </c>
      <c r="F189" t="s">
        <v>16</v>
      </c>
      <c r="G189" t="s">
        <v>55</v>
      </c>
      <c r="H189" t="s">
        <v>51</v>
      </c>
      <c r="I189" t="s">
        <v>72</v>
      </c>
      <c r="J189" t="s">
        <v>20</v>
      </c>
      <c r="K189">
        <v>1</v>
      </c>
      <c r="L189">
        <v>18</v>
      </c>
      <c r="M189" t="s">
        <v>65</v>
      </c>
      <c r="N189" t="s">
        <v>43</v>
      </c>
    </row>
    <row r="190" spans="1:14" x14ac:dyDescent="0.3">
      <c r="A190">
        <v>76777000</v>
      </c>
      <c r="B190" t="s">
        <v>259</v>
      </c>
      <c r="C190" t="s">
        <v>24</v>
      </c>
      <c r="D190" s="1">
        <v>45278</v>
      </c>
      <c r="E190">
        <v>1711</v>
      </c>
      <c r="F190" t="s">
        <v>39</v>
      </c>
      <c r="G190" t="s">
        <v>55</v>
      </c>
      <c r="H190" t="s">
        <v>40</v>
      </c>
      <c r="I190" t="s">
        <v>27</v>
      </c>
      <c r="J190" t="s">
        <v>79</v>
      </c>
      <c r="K190">
        <v>0</v>
      </c>
      <c r="L190">
        <v>25</v>
      </c>
      <c r="M190" t="s">
        <v>21</v>
      </c>
      <c r="N190" t="s">
        <v>63</v>
      </c>
    </row>
    <row r="191" spans="1:14" x14ac:dyDescent="0.3">
      <c r="A191">
        <v>48826652</v>
      </c>
      <c r="B191" t="s">
        <v>260</v>
      </c>
      <c r="C191" t="s">
        <v>70</v>
      </c>
      <c r="D191" s="1">
        <v>45608</v>
      </c>
      <c r="E191">
        <v>7291</v>
      </c>
      <c r="F191" t="s">
        <v>39</v>
      </c>
      <c r="G191" t="s">
        <v>17</v>
      </c>
      <c r="H191" t="s">
        <v>62</v>
      </c>
      <c r="I191" t="s">
        <v>34</v>
      </c>
      <c r="J191" t="s">
        <v>35</v>
      </c>
      <c r="K191">
        <v>0</v>
      </c>
      <c r="L191">
        <v>84</v>
      </c>
      <c r="M191" t="s">
        <v>29</v>
      </c>
      <c r="N191" t="s">
        <v>43</v>
      </c>
    </row>
    <row r="192" spans="1:14" x14ac:dyDescent="0.3">
      <c r="A192">
        <v>53119289</v>
      </c>
      <c r="B192" t="s">
        <v>261</v>
      </c>
      <c r="C192" t="s">
        <v>15</v>
      </c>
      <c r="D192" s="1">
        <v>45511</v>
      </c>
      <c r="E192">
        <v>21076</v>
      </c>
      <c r="F192" t="s">
        <v>16</v>
      </c>
      <c r="G192" t="s">
        <v>25</v>
      </c>
      <c r="H192" t="s">
        <v>26</v>
      </c>
      <c r="I192" t="s">
        <v>72</v>
      </c>
      <c r="J192" t="s">
        <v>57</v>
      </c>
      <c r="K192">
        <v>1</v>
      </c>
      <c r="L192">
        <v>86</v>
      </c>
      <c r="M192" t="s">
        <v>29</v>
      </c>
      <c r="N192" t="s">
        <v>89</v>
      </c>
    </row>
    <row r="193" spans="1:14" x14ac:dyDescent="0.3">
      <c r="A193">
        <v>11754175</v>
      </c>
      <c r="B193" t="s">
        <v>262</v>
      </c>
      <c r="C193" t="s">
        <v>75</v>
      </c>
      <c r="D193" s="1">
        <v>45382</v>
      </c>
      <c r="E193">
        <v>3605</v>
      </c>
      <c r="F193" t="s">
        <v>39</v>
      </c>
      <c r="G193" t="s">
        <v>32</v>
      </c>
      <c r="H193" t="s">
        <v>33</v>
      </c>
      <c r="I193" t="s">
        <v>19</v>
      </c>
      <c r="J193" t="s">
        <v>52</v>
      </c>
      <c r="K193">
        <v>0</v>
      </c>
      <c r="L193">
        <v>74</v>
      </c>
      <c r="M193" t="s">
        <v>42</v>
      </c>
      <c r="N193" t="s">
        <v>22</v>
      </c>
    </row>
    <row r="194" spans="1:14" x14ac:dyDescent="0.3">
      <c r="A194">
        <v>56313270</v>
      </c>
      <c r="B194" t="s">
        <v>263</v>
      </c>
      <c r="C194" t="s">
        <v>101</v>
      </c>
      <c r="D194" s="1">
        <v>45342</v>
      </c>
      <c r="E194">
        <v>9461</v>
      </c>
      <c r="F194" t="s">
        <v>61</v>
      </c>
      <c r="G194" t="s">
        <v>32</v>
      </c>
      <c r="H194" t="s">
        <v>26</v>
      </c>
      <c r="I194" t="s">
        <v>72</v>
      </c>
      <c r="J194" t="s">
        <v>35</v>
      </c>
      <c r="K194">
        <v>0</v>
      </c>
      <c r="L194">
        <v>78</v>
      </c>
      <c r="M194" t="s">
        <v>47</v>
      </c>
      <c r="N194" t="s">
        <v>89</v>
      </c>
    </row>
    <row r="195" spans="1:14" x14ac:dyDescent="0.3">
      <c r="A195">
        <v>77697734</v>
      </c>
      <c r="B195" t="s">
        <v>264</v>
      </c>
      <c r="C195" t="s">
        <v>15</v>
      </c>
      <c r="D195" s="1">
        <v>45594</v>
      </c>
      <c r="E195">
        <v>4329</v>
      </c>
      <c r="F195" t="s">
        <v>61</v>
      </c>
      <c r="G195" t="s">
        <v>55</v>
      </c>
      <c r="H195" t="s">
        <v>40</v>
      </c>
      <c r="I195" t="s">
        <v>19</v>
      </c>
      <c r="J195" t="s">
        <v>68</v>
      </c>
      <c r="K195">
        <v>0</v>
      </c>
      <c r="L195">
        <v>42</v>
      </c>
      <c r="M195" t="s">
        <v>42</v>
      </c>
      <c r="N195" t="s">
        <v>73</v>
      </c>
    </row>
    <row r="196" spans="1:14" x14ac:dyDescent="0.3">
      <c r="A196">
        <v>20959297</v>
      </c>
      <c r="B196" t="s">
        <v>265</v>
      </c>
      <c r="C196" t="s">
        <v>15</v>
      </c>
      <c r="D196" s="1">
        <v>45594</v>
      </c>
      <c r="E196">
        <v>18054</v>
      </c>
      <c r="F196" t="s">
        <v>16</v>
      </c>
      <c r="G196" t="s">
        <v>17</v>
      </c>
      <c r="H196" t="s">
        <v>51</v>
      </c>
      <c r="I196" t="s">
        <v>34</v>
      </c>
      <c r="J196" t="s">
        <v>35</v>
      </c>
      <c r="K196">
        <v>1</v>
      </c>
      <c r="L196">
        <v>81</v>
      </c>
      <c r="M196" t="s">
        <v>47</v>
      </c>
      <c r="N196" t="s">
        <v>63</v>
      </c>
    </row>
    <row r="197" spans="1:14" x14ac:dyDescent="0.3">
      <c r="A197">
        <v>15774284</v>
      </c>
      <c r="B197" t="s">
        <v>266</v>
      </c>
      <c r="C197" t="s">
        <v>75</v>
      </c>
      <c r="D197" s="1">
        <v>45329</v>
      </c>
      <c r="E197">
        <v>4005</v>
      </c>
      <c r="F197" t="s">
        <v>16</v>
      </c>
      <c r="G197" t="s">
        <v>25</v>
      </c>
      <c r="H197" t="s">
        <v>103</v>
      </c>
      <c r="I197" t="s">
        <v>27</v>
      </c>
      <c r="J197" t="s">
        <v>52</v>
      </c>
      <c r="K197">
        <v>0</v>
      </c>
      <c r="L197">
        <v>85</v>
      </c>
      <c r="M197" t="s">
        <v>29</v>
      </c>
      <c r="N197" t="s">
        <v>36</v>
      </c>
    </row>
    <row r="198" spans="1:14" x14ac:dyDescent="0.3">
      <c r="A198">
        <v>49808870</v>
      </c>
      <c r="B198" t="s">
        <v>267</v>
      </c>
      <c r="C198" t="s">
        <v>31</v>
      </c>
      <c r="D198" s="1">
        <v>45292</v>
      </c>
      <c r="E198">
        <v>11792</v>
      </c>
      <c r="F198" t="s">
        <v>16</v>
      </c>
      <c r="G198" t="s">
        <v>25</v>
      </c>
      <c r="H198" t="s">
        <v>40</v>
      </c>
      <c r="I198" t="s">
        <v>34</v>
      </c>
      <c r="J198" t="s">
        <v>28</v>
      </c>
      <c r="K198">
        <v>0</v>
      </c>
      <c r="L198">
        <v>31</v>
      </c>
      <c r="M198" t="s">
        <v>29</v>
      </c>
      <c r="N198" t="s">
        <v>89</v>
      </c>
    </row>
    <row r="199" spans="1:14" x14ac:dyDescent="0.3">
      <c r="A199">
        <v>30436209</v>
      </c>
      <c r="B199" t="s">
        <v>268</v>
      </c>
      <c r="C199" t="s">
        <v>45</v>
      </c>
      <c r="D199" s="1">
        <v>45368</v>
      </c>
      <c r="E199">
        <v>13557</v>
      </c>
      <c r="F199" t="s">
        <v>39</v>
      </c>
      <c r="G199" t="s">
        <v>55</v>
      </c>
      <c r="H199" t="s">
        <v>56</v>
      </c>
      <c r="I199" t="s">
        <v>72</v>
      </c>
      <c r="J199" t="s">
        <v>41</v>
      </c>
      <c r="K199">
        <v>0</v>
      </c>
      <c r="L199">
        <v>82</v>
      </c>
      <c r="M199" t="s">
        <v>21</v>
      </c>
      <c r="N199" t="s">
        <v>43</v>
      </c>
    </row>
    <row r="200" spans="1:14" x14ac:dyDescent="0.3">
      <c r="A200">
        <v>50300676</v>
      </c>
      <c r="B200" t="s">
        <v>269</v>
      </c>
      <c r="C200" t="s">
        <v>75</v>
      </c>
      <c r="D200" s="1">
        <v>45441</v>
      </c>
      <c r="E200">
        <v>6566</v>
      </c>
      <c r="F200" t="s">
        <v>39</v>
      </c>
      <c r="G200" t="s">
        <v>55</v>
      </c>
      <c r="H200" t="s">
        <v>18</v>
      </c>
      <c r="I200" t="s">
        <v>27</v>
      </c>
      <c r="J200" t="s">
        <v>68</v>
      </c>
      <c r="K200">
        <v>1</v>
      </c>
      <c r="L200">
        <v>93</v>
      </c>
      <c r="M200" t="s">
        <v>42</v>
      </c>
      <c r="N200" t="s">
        <v>73</v>
      </c>
    </row>
    <row r="201" spans="1:14" x14ac:dyDescent="0.3">
      <c r="A201">
        <v>62323465</v>
      </c>
      <c r="B201" t="s">
        <v>270</v>
      </c>
      <c r="C201" t="s">
        <v>101</v>
      </c>
      <c r="D201" s="1">
        <v>45511</v>
      </c>
      <c r="E201">
        <v>18405</v>
      </c>
      <c r="F201" t="s">
        <v>39</v>
      </c>
      <c r="G201" t="s">
        <v>71</v>
      </c>
      <c r="H201" t="s">
        <v>18</v>
      </c>
      <c r="I201" t="s">
        <v>72</v>
      </c>
      <c r="J201" t="s">
        <v>68</v>
      </c>
      <c r="K201">
        <v>0</v>
      </c>
      <c r="L201">
        <v>60</v>
      </c>
      <c r="M201" t="s">
        <v>47</v>
      </c>
      <c r="N201" t="s">
        <v>48</v>
      </c>
    </row>
    <row r="202" spans="1:14" x14ac:dyDescent="0.3">
      <c r="A202">
        <v>21344753</v>
      </c>
      <c r="B202" t="s">
        <v>271</v>
      </c>
      <c r="C202" t="s">
        <v>77</v>
      </c>
      <c r="D202" s="1">
        <v>45283</v>
      </c>
      <c r="E202">
        <v>12460</v>
      </c>
      <c r="F202" t="s">
        <v>39</v>
      </c>
      <c r="G202" t="s">
        <v>25</v>
      </c>
      <c r="H202" t="s">
        <v>51</v>
      </c>
      <c r="I202" t="s">
        <v>72</v>
      </c>
      <c r="J202" t="s">
        <v>20</v>
      </c>
      <c r="K202">
        <v>1</v>
      </c>
      <c r="L202">
        <v>60</v>
      </c>
      <c r="M202" t="s">
        <v>65</v>
      </c>
      <c r="N202" t="s">
        <v>46</v>
      </c>
    </row>
    <row r="203" spans="1:14" x14ac:dyDescent="0.3">
      <c r="A203">
        <v>49929650</v>
      </c>
      <c r="B203" t="s">
        <v>272</v>
      </c>
      <c r="C203" t="s">
        <v>70</v>
      </c>
      <c r="D203" s="1">
        <v>45352</v>
      </c>
      <c r="E203">
        <v>5611</v>
      </c>
      <c r="F203" t="s">
        <v>61</v>
      </c>
      <c r="G203" t="s">
        <v>71</v>
      </c>
      <c r="H203" t="s">
        <v>62</v>
      </c>
      <c r="I203" t="s">
        <v>27</v>
      </c>
      <c r="J203" t="s">
        <v>28</v>
      </c>
      <c r="K203">
        <v>0</v>
      </c>
      <c r="L203">
        <v>92</v>
      </c>
      <c r="M203" t="s">
        <v>65</v>
      </c>
      <c r="N203" t="s">
        <v>36</v>
      </c>
    </row>
    <row r="204" spans="1:14" x14ac:dyDescent="0.3">
      <c r="A204">
        <v>45229302</v>
      </c>
      <c r="B204" t="s">
        <v>273</v>
      </c>
      <c r="C204" t="s">
        <v>54</v>
      </c>
      <c r="D204" s="1">
        <v>45587</v>
      </c>
      <c r="E204">
        <v>17881</v>
      </c>
      <c r="F204" t="s">
        <v>61</v>
      </c>
      <c r="G204" t="s">
        <v>17</v>
      </c>
      <c r="H204" t="s">
        <v>51</v>
      </c>
      <c r="I204" t="s">
        <v>19</v>
      </c>
      <c r="J204" t="s">
        <v>85</v>
      </c>
      <c r="K204">
        <v>0</v>
      </c>
      <c r="L204">
        <v>46</v>
      </c>
      <c r="M204" t="s">
        <v>58</v>
      </c>
      <c r="N204" t="s">
        <v>46</v>
      </c>
    </row>
    <row r="205" spans="1:14" x14ac:dyDescent="0.3">
      <c r="A205">
        <v>85944795</v>
      </c>
      <c r="B205" t="s">
        <v>274</v>
      </c>
      <c r="C205" t="s">
        <v>15</v>
      </c>
      <c r="D205" s="1">
        <v>45365</v>
      </c>
      <c r="E205">
        <v>11238</v>
      </c>
      <c r="F205" t="s">
        <v>39</v>
      </c>
      <c r="G205" t="s">
        <v>32</v>
      </c>
      <c r="H205" t="s">
        <v>103</v>
      </c>
      <c r="I205" t="s">
        <v>34</v>
      </c>
      <c r="J205" t="s">
        <v>20</v>
      </c>
      <c r="K205">
        <v>0</v>
      </c>
      <c r="L205">
        <v>32</v>
      </c>
      <c r="M205" t="s">
        <v>47</v>
      </c>
      <c r="N205" t="s">
        <v>22</v>
      </c>
    </row>
    <row r="206" spans="1:14" x14ac:dyDescent="0.3">
      <c r="A206">
        <v>71917708</v>
      </c>
      <c r="B206" t="s">
        <v>275</v>
      </c>
      <c r="C206" t="s">
        <v>77</v>
      </c>
      <c r="D206" s="1">
        <v>45321</v>
      </c>
      <c r="E206">
        <v>12007</v>
      </c>
      <c r="F206" t="s">
        <v>61</v>
      </c>
      <c r="G206" t="s">
        <v>17</v>
      </c>
      <c r="H206" t="s">
        <v>33</v>
      </c>
      <c r="I206" t="s">
        <v>19</v>
      </c>
      <c r="J206" t="s">
        <v>57</v>
      </c>
      <c r="K206">
        <v>1</v>
      </c>
      <c r="L206">
        <v>87</v>
      </c>
      <c r="M206" t="s">
        <v>29</v>
      </c>
      <c r="N206" t="s">
        <v>59</v>
      </c>
    </row>
    <row r="207" spans="1:14" x14ac:dyDescent="0.3">
      <c r="A207">
        <v>13304438</v>
      </c>
      <c r="B207" t="s">
        <v>276</v>
      </c>
      <c r="C207" t="s">
        <v>45</v>
      </c>
      <c r="D207" s="1">
        <v>45494</v>
      </c>
      <c r="E207">
        <v>9883</v>
      </c>
      <c r="F207" t="s">
        <v>61</v>
      </c>
      <c r="G207" t="s">
        <v>32</v>
      </c>
      <c r="H207" t="s">
        <v>56</v>
      </c>
      <c r="I207" t="s">
        <v>34</v>
      </c>
      <c r="J207" t="s">
        <v>85</v>
      </c>
      <c r="K207">
        <v>0</v>
      </c>
      <c r="L207">
        <v>43</v>
      </c>
      <c r="M207" t="s">
        <v>42</v>
      </c>
      <c r="N207" t="s">
        <v>22</v>
      </c>
    </row>
    <row r="208" spans="1:14" x14ac:dyDescent="0.3">
      <c r="A208">
        <v>30285704</v>
      </c>
      <c r="B208" t="s">
        <v>277</v>
      </c>
      <c r="C208" t="s">
        <v>70</v>
      </c>
      <c r="D208" s="1">
        <v>45363</v>
      </c>
      <c r="E208">
        <v>8474</v>
      </c>
      <c r="F208" t="s">
        <v>39</v>
      </c>
      <c r="G208" t="s">
        <v>71</v>
      </c>
      <c r="H208" t="s">
        <v>46</v>
      </c>
      <c r="I208" t="s">
        <v>27</v>
      </c>
      <c r="J208" t="s">
        <v>28</v>
      </c>
      <c r="K208">
        <v>0</v>
      </c>
      <c r="L208">
        <v>10</v>
      </c>
      <c r="M208" t="s">
        <v>65</v>
      </c>
      <c r="N208" t="s">
        <v>73</v>
      </c>
    </row>
    <row r="209" spans="1:14" x14ac:dyDescent="0.3">
      <c r="A209">
        <v>42380998</v>
      </c>
      <c r="B209" t="s">
        <v>278</v>
      </c>
      <c r="C209" t="s">
        <v>24</v>
      </c>
      <c r="D209" s="1">
        <v>45600</v>
      </c>
      <c r="E209">
        <v>11058</v>
      </c>
      <c r="F209" t="s">
        <v>39</v>
      </c>
      <c r="G209" t="s">
        <v>17</v>
      </c>
      <c r="H209" t="s">
        <v>46</v>
      </c>
      <c r="I209" t="s">
        <v>27</v>
      </c>
      <c r="J209" t="s">
        <v>20</v>
      </c>
      <c r="K209">
        <v>0</v>
      </c>
      <c r="L209">
        <v>13</v>
      </c>
      <c r="M209" t="s">
        <v>29</v>
      </c>
      <c r="N209" t="s">
        <v>87</v>
      </c>
    </row>
    <row r="210" spans="1:14" x14ac:dyDescent="0.3">
      <c r="A210">
        <v>85856573</v>
      </c>
      <c r="B210" t="s">
        <v>279</v>
      </c>
      <c r="C210" t="s">
        <v>75</v>
      </c>
      <c r="D210" s="1">
        <v>45599</v>
      </c>
      <c r="E210">
        <v>8224</v>
      </c>
      <c r="F210" t="s">
        <v>39</v>
      </c>
      <c r="G210" t="s">
        <v>71</v>
      </c>
      <c r="H210" t="s">
        <v>62</v>
      </c>
      <c r="I210" t="s">
        <v>34</v>
      </c>
      <c r="J210" t="s">
        <v>41</v>
      </c>
      <c r="K210">
        <v>0</v>
      </c>
      <c r="L210">
        <v>48</v>
      </c>
      <c r="M210" t="s">
        <v>21</v>
      </c>
      <c r="N210" t="s">
        <v>73</v>
      </c>
    </row>
    <row r="211" spans="1:14" x14ac:dyDescent="0.3">
      <c r="A211">
        <v>89021354</v>
      </c>
      <c r="B211" t="s">
        <v>280</v>
      </c>
      <c r="C211" t="s">
        <v>15</v>
      </c>
      <c r="D211" s="1">
        <v>45523</v>
      </c>
      <c r="E211">
        <v>1593</v>
      </c>
      <c r="F211" t="s">
        <v>50</v>
      </c>
      <c r="G211" t="s">
        <v>25</v>
      </c>
      <c r="H211" t="s">
        <v>46</v>
      </c>
      <c r="I211" t="s">
        <v>72</v>
      </c>
      <c r="J211" t="s">
        <v>20</v>
      </c>
      <c r="K211">
        <v>1</v>
      </c>
      <c r="L211">
        <v>30</v>
      </c>
      <c r="M211" t="s">
        <v>47</v>
      </c>
      <c r="N211" t="s">
        <v>36</v>
      </c>
    </row>
    <row r="212" spans="1:14" x14ac:dyDescent="0.3">
      <c r="A212">
        <v>19920333</v>
      </c>
      <c r="B212" t="s">
        <v>281</v>
      </c>
      <c r="C212" t="s">
        <v>77</v>
      </c>
      <c r="D212" s="1">
        <v>45552</v>
      </c>
      <c r="E212">
        <v>7153</v>
      </c>
      <c r="F212" t="s">
        <v>50</v>
      </c>
      <c r="G212" t="s">
        <v>71</v>
      </c>
      <c r="H212" t="s">
        <v>62</v>
      </c>
      <c r="I212" t="s">
        <v>72</v>
      </c>
      <c r="J212" t="s">
        <v>85</v>
      </c>
      <c r="K212">
        <v>0</v>
      </c>
      <c r="L212">
        <v>31</v>
      </c>
      <c r="M212" t="s">
        <v>65</v>
      </c>
      <c r="N212" t="s">
        <v>59</v>
      </c>
    </row>
    <row r="213" spans="1:14" x14ac:dyDescent="0.3">
      <c r="A213">
        <v>92306692</v>
      </c>
      <c r="B213" t="s">
        <v>282</v>
      </c>
      <c r="C213" t="s">
        <v>31</v>
      </c>
      <c r="D213" s="1">
        <v>45454</v>
      </c>
      <c r="E213">
        <v>7002</v>
      </c>
      <c r="F213" t="s">
        <v>16</v>
      </c>
      <c r="G213" t="s">
        <v>32</v>
      </c>
      <c r="H213" t="s">
        <v>26</v>
      </c>
      <c r="I213" t="s">
        <v>19</v>
      </c>
      <c r="J213" t="s">
        <v>68</v>
      </c>
      <c r="K213">
        <v>0</v>
      </c>
      <c r="L213">
        <v>14</v>
      </c>
      <c r="M213" t="s">
        <v>42</v>
      </c>
      <c r="N213" t="s">
        <v>22</v>
      </c>
    </row>
    <row r="214" spans="1:14" x14ac:dyDescent="0.3">
      <c r="A214">
        <v>16695479</v>
      </c>
      <c r="B214" t="s">
        <v>283</v>
      </c>
      <c r="C214" t="s">
        <v>75</v>
      </c>
      <c r="D214" s="1">
        <v>45587</v>
      </c>
      <c r="E214">
        <v>14361</v>
      </c>
      <c r="F214" t="s">
        <v>39</v>
      </c>
      <c r="G214" t="s">
        <v>17</v>
      </c>
      <c r="H214" t="s">
        <v>62</v>
      </c>
      <c r="I214" t="s">
        <v>34</v>
      </c>
      <c r="J214" t="s">
        <v>41</v>
      </c>
      <c r="K214">
        <v>0</v>
      </c>
      <c r="L214">
        <v>22</v>
      </c>
      <c r="M214" t="s">
        <v>42</v>
      </c>
      <c r="N214" t="s">
        <v>73</v>
      </c>
    </row>
    <row r="215" spans="1:14" x14ac:dyDescent="0.3">
      <c r="A215">
        <v>60735981</v>
      </c>
      <c r="B215" t="s">
        <v>284</v>
      </c>
      <c r="C215" t="s">
        <v>45</v>
      </c>
      <c r="D215" s="1">
        <v>45484</v>
      </c>
      <c r="E215">
        <v>21337</v>
      </c>
      <c r="F215" t="s">
        <v>16</v>
      </c>
      <c r="G215" t="s">
        <v>25</v>
      </c>
      <c r="H215" t="s">
        <v>40</v>
      </c>
      <c r="I215" t="s">
        <v>72</v>
      </c>
      <c r="J215" t="s">
        <v>20</v>
      </c>
      <c r="K215">
        <v>0</v>
      </c>
      <c r="L215">
        <v>48</v>
      </c>
      <c r="M215" t="s">
        <v>21</v>
      </c>
      <c r="N215" t="s">
        <v>48</v>
      </c>
    </row>
    <row r="216" spans="1:14" x14ac:dyDescent="0.3">
      <c r="A216">
        <v>41889517</v>
      </c>
      <c r="B216" t="s">
        <v>285</v>
      </c>
      <c r="C216" t="s">
        <v>45</v>
      </c>
      <c r="D216" s="1">
        <v>45542</v>
      </c>
      <c r="E216">
        <v>2074</v>
      </c>
      <c r="F216" t="s">
        <v>50</v>
      </c>
      <c r="G216" t="s">
        <v>55</v>
      </c>
      <c r="H216" t="s">
        <v>26</v>
      </c>
      <c r="I216" t="s">
        <v>34</v>
      </c>
      <c r="J216" t="s">
        <v>79</v>
      </c>
      <c r="K216">
        <v>0</v>
      </c>
      <c r="L216">
        <v>77</v>
      </c>
      <c r="M216" t="s">
        <v>42</v>
      </c>
      <c r="N216" t="s">
        <v>89</v>
      </c>
    </row>
    <row r="217" spans="1:14" x14ac:dyDescent="0.3">
      <c r="A217">
        <v>93878137</v>
      </c>
      <c r="B217" t="s">
        <v>286</v>
      </c>
      <c r="C217" t="s">
        <v>54</v>
      </c>
      <c r="D217" s="1">
        <v>45552</v>
      </c>
      <c r="E217">
        <v>9854</v>
      </c>
      <c r="F217" t="s">
        <v>39</v>
      </c>
      <c r="G217" t="s">
        <v>17</v>
      </c>
      <c r="H217" t="s">
        <v>18</v>
      </c>
      <c r="I217" t="s">
        <v>19</v>
      </c>
      <c r="J217" t="s">
        <v>85</v>
      </c>
      <c r="K217">
        <v>0</v>
      </c>
      <c r="L217">
        <v>27</v>
      </c>
      <c r="M217" t="s">
        <v>47</v>
      </c>
      <c r="N217" t="s">
        <v>73</v>
      </c>
    </row>
    <row r="218" spans="1:14" x14ac:dyDescent="0.3">
      <c r="A218">
        <v>23633392</v>
      </c>
      <c r="B218" t="s">
        <v>287</v>
      </c>
      <c r="C218" t="s">
        <v>101</v>
      </c>
      <c r="D218" s="1">
        <v>45429</v>
      </c>
      <c r="E218">
        <v>19087</v>
      </c>
      <c r="F218" t="s">
        <v>39</v>
      </c>
      <c r="G218" t="s">
        <v>17</v>
      </c>
      <c r="H218" t="s">
        <v>26</v>
      </c>
      <c r="I218" t="s">
        <v>27</v>
      </c>
      <c r="J218" t="s">
        <v>35</v>
      </c>
      <c r="K218">
        <v>1</v>
      </c>
      <c r="L218">
        <v>88</v>
      </c>
      <c r="M218" t="s">
        <v>42</v>
      </c>
      <c r="N218" t="s">
        <v>89</v>
      </c>
    </row>
    <row r="219" spans="1:14" x14ac:dyDescent="0.3">
      <c r="A219">
        <v>93858354</v>
      </c>
      <c r="B219" t="s">
        <v>288</v>
      </c>
      <c r="C219" t="s">
        <v>77</v>
      </c>
      <c r="D219" s="1">
        <v>45342</v>
      </c>
      <c r="E219">
        <v>21326</v>
      </c>
      <c r="F219" t="s">
        <v>16</v>
      </c>
      <c r="G219" t="s">
        <v>17</v>
      </c>
      <c r="H219" t="s">
        <v>18</v>
      </c>
      <c r="I219" t="s">
        <v>72</v>
      </c>
      <c r="J219" t="s">
        <v>35</v>
      </c>
      <c r="K219">
        <v>1</v>
      </c>
      <c r="L219">
        <v>19</v>
      </c>
      <c r="M219" t="s">
        <v>65</v>
      </c>
      <c r="N219" t="s">
        <v>46</v>
      </c>
    </row>
    <row r="220" spans="1:14" x14ac:dyDescent="0.3">
      <c r="A220">
        <v>50133315</v>
      </c>
      <c r="B220" t="s">
        <v>289</v>
      </c>
      <c r="C220" t="s">
        <v>45</v>
      </c>
      <c r="D220" s="1">
        <v>45357</v>
      </c>
      <c r="E220">
        <v>24449</v>
      </c>
      <c r="F220" t="s">
        <v>39</v>
      </c>
      <c r="G220" t="s">
        <v>55</v>
      </c>
      <c r="H220" t="s">
        <v>103</v>
      </c>
      <c r="I220" t="s">
        <v>34</v>
      </c>
      <c r="J220" t="s">
        <v>41</v>
      </c>
      <c r="K220">
        <v>0</v>
      </c>
      <c r="L220">
        <v>47</v>
      </c>
      <c r="M220" t="s">
        <v>21</v>
      </c>
      <c r="N220" t="s">
        <v>63</v>
      </c>
    </row>
    <row r="221" spans="1:14" x14ac:dyDescent="0.3">
      <c r="A221">
        <v>99881019</v>
      </c>
      <c r="B221" t="s">
        <v>290</v>
      </c>
      <c r="C221" t="s">
        <v>101</v>
      </c>
      <c r="D221" s="1">
        <v>45317</v>
      </c>
      <c r="E221">
        <v>8163</v>
      </c>
      <c r="F221" t="s">
        <v>39</v>
      </c>
      <c r="G221" t="s">
        <v>17</v>
      </c>
      <c r="H221" t="s">
        <v>56</v>
      </c>
      <c r="I221" t="s">
        <v>72</v>
      </c>
      <c r="J221" t="s">
        <v>28</v>
      </c>
      <c r="K221">
        <v>0</v>
      </c>
      <c r="L221">
        <v>91</v>
      </c>
      <c r="M221" t="s">
        <v>29</v>
      </c>
      <c r="N221" t="s">
        <v>87</v>
      </c>
    </row>
    <row r="222" spans="1:14" x14ac:dyDescent="0.3">
      <c r="A222">
        <v>42583702</v>
      </c>
      <c r="B222" t="s">
        <v>291</v>
      </c>
      <c r="C222" t="s">
        <v>54</v>
      </c>
      <c r="D222" s="1">
        <v>45419</v>
      </c>
      <c r="E222">
        <v>5001</v>
      </c>
      <c r="F222" t="s">
        <v>39</v>
      </c>
      <c r="G222" t="s">
        <v>25</v>
      </c>
      <c r="H222" t="s">
        <v>26</v>
      </c>
      <c r="I222" t="s">
        <v>19</v>
      </c>
      <c r="J222" t="s">
        <v>85</v>
      </c>
      <c r="K222">
        <v>0</v>
      </c>
      <c r="L222">
        <v>39</v>
      </c>
      <c r="M222" t="s">
        <v>42</v>
      </c>
      <c r="N222" t="s">
        <v>63</v>
      </c>
    </row>
    <row r="223" spans="1:14" x14ac:dyDescent="0.3">
      <c r="A223">
        <v>80744133</v>
      </c>
      <c r="B223" t="s">
        <v>292</v>
      </c>
      <c r="C223" t="s">
        <v>101</v>
      </c>
      <c r="D223" s="1">
        <v>45630</v>
      </c>
      <c r="E223">
        <v>22963</v>
      </c>
      <c r="F223" t="s">
        <v>39</v>
      </c>
      <c r="G223" t="s">
        <v>32</v>
      </c>
      <c r="H223" t="s">
        <v>103</v>
      </c>
      <c r="I223" t="s">
        <v>72</v>
      </c>
      <c r="J223" t="s">
        <v>85</v>
      </c>
      <c r="K223">
        <v>0</v>
      </c>
      <c r="L223">
        <v>89</v>
      </c>
      <c r="M223" t="s">
        <v>42</v>
      </c>
      <c r="N223" t="s">
        <v>36</v>
      </c>
    </row>
    <row r="224" spans="1:14" x14ac:dyDescent="0.3">
      <c r="A224">
        <v>25683765</v>
      </c>
      <c r="B224" t="s">
        <v>293</v>
      </c>
      <c r="C224" t="s">
        <v>15</v>
      </c>
      <c r="D224" s="1">
        <v>45640</v>
      </c>
      <c r="E224">
        <v>6874</v>
      </c>
      <c r="F224" t="s">
        <v>61</v>
      </c>
      <c r="G224" t="s">
        <v>55</v>
      </c>
      <c r="H224" t="s">
        <v>81</v>
      </c>
      <c r="I224" t="s">
        <v>19</v>
      </c>
      <c r="J224" t="s">
        <v>20</v>
      </c>
      <c r="K224">
        <v>0</v>
      </c>
      <c r="L224">
        <v>12</v>
      </c>
      <c r="M224" t="s">
        <v>58</v>
      </c>
      <c r="N224" t="s">
        <v>73</v>
      </c>
    </row>
    <row r="225" spans="1:14" x14ac:dyDescent="0.3">
      <c r="A225">
        <v>24972916</v>
      </c>
      <c r="B225" t="s">
        <v>294</v>
      </c>
      <c r="C225" t="s">
        <v>45</v>
      </c>
      <c r="D225" s="1">
        <v>45533</v>
      </c>
      <c r="E225">
        <v>15571</v>
      </c>
      <c r="F225" t="s">
        <v>39</v>
      </c>
      <c r="G225" t="s">
        <v>71</v>
      </c>
      <c r="H225" t="s">
        <v>56</v>
      </c>
      <c r="I225" t="s">
        <v>27</v>
      </c>
      <c r="J225" t="s">
        <v>28</v>
      </c>
      <c r="K225">
        <v>0</v>
      </c>
      <c r="L225">
        <v>77</v>
      </c>
      <c r="M225" t="s">
        <v>42</v>
      </c>
      <c r="N225" t="s">
        <v>43</v>
      </c>
    </row>
    <row r="226" spans="1:14" x14ac:dyDescent="0.3">
      <c r="A226">
        <v>37530528</v>
      </c>
      <c r="B226" t="s">
        <v>295</v>
      </c>
      <c r="C226" t="s">
        <v>54</v>
      </c>
      <c r="D226" s="1">
        <v>45619</v>
      </c>
      <c r="E226">
        <v>6473</v>
      </c>
      <c r="F226" t="s">
        <v>50</v>
      </c>
      <c r="G226" t="s">
        <v>55</v>
      </c>
      <c r="H226" t="s">
        <v>103</v>
      </c>
      <c r="I226" t="s">
        <v>34</v>
      </c>
      <c r="J226" t="s">
        <v>57</v>
      </c>
      <c r="K226">
        <v>0</v>
      </c>
      <c r="L226">
        <v>61</v>
      </c>
      <c r="M226" t="s">
        <v>58</v>
      </c>
      <c r="N226" t="s">
        <v>22</v>
      </c>
    </row>
    <row r="227" spans="1:14" x14ac:dyDescent="0.3">
      <c r="A227">
        <v>90527786</v>
      </c>
      <c r="B227" t="s">
        <v>296</v>
      </c>
      <c r="C227" t="s">
        <v>70</v>
      </c>
      <c r="D227" s="1">
        <v>45374</v>
      </c>
      <c r="E227">
        <v>5840</v>
      </c>
      <c r="F227" t="s">
        <v>39</v>
      </c>
      <c r="G227" t="s">
        <v>25</v>
      </c>
      <c r="H227" t="s">
        <v>103</v>
      </c>
      <c r="I227" t="s">
        <v>72</v>
      </c>
      <c r="J227" t="s">
        <v>85</v>
      </c>
      <c r="K227">
        <v>0</v>
      </c>
      <c r="L227">
        <v>74</v>
      </c>
      <c r="M227" t="s">
        <v>65</v>
      </c>
      <c r="N227" t="s">
        <v>36</v>
      </c>
    </row>
    <row r="228" spans="1:14" x14ac:dyDescent="0.3">
      <c r="A228">
        <v>28967339</v>
      </c>
      <c r="B228" t="s">
        <v>297</v>
      </c>
      <c r="C228" t="s">
        <v>75</v>
      </c>
      <c r="D228" s="1">
        <v>45618</v>
      </c>
      <c r="E228">
        <v>3202</v>
      </c>
      <c r="F228" t="s">
        <v>61</v>
      </c>
      <c r="G228" t="s">
        <v>55</v>
      </c>
      <c r="H228" t="s">
        <v>46</v>
      </c>
      <c r="I228" t="s">
        <v>27</v>
      </c>
      <c r="J228" t="s">
        <v>79</v>
      </c>
      <c r="K228">
        <v>1</v>
      </c>
      <c r="L228">
        <v>69</v>
      </c>
      <c r="M228" t="s">
        <v>29</v>
      </c>
      <c r="N228" t="s">
        <v>22</v>
      </c>
    </row>
    <row r="229" spans="1:14" x14ac:dyDescent="0.3">
      <c r="A229">
        <v>18105851</v>
      </c>
      <c r="B229" t="s">
        <v>298</v>
      </c>
      <c r="C229" t="s">
        <v>101</v>
      </c>
      <c r="D229" s="1">
        <v>45439</v>
      </c>
      <c r="E229">
        <v>12974</v>
      </c>
      <c r="F229" t="s">
        <v>39</v>
      </c>
      <c r="G229" t="s">
        <v>25</v>
      </c>
      <c r="H229" t="s">
        <v>56</v>
      </c>
      <c r="I229" t="s">
        <v>19</v>
      </c>
      <c r="J229" t="s">
        <v>28</v>
      </c>
      <c r="K229">
        <v>0</v>
      </c>
      <c r="L229">
        <v>87</v>
      </c>
      <c r="M229" t="s">
        <v>21</v>
      </c>
      <c r="N229" t="s">
        <v>22</v>
      </c>
    </row>
    <row r="230" spans="1:14" x14ac:dyDescent="0.3">
      <c r="A230">
        <v>43702153</v>
      </c>
      <c r="B230" t="s">
        <v>299</v>
      </c>
      <c r="C230" t="s">
        <v>75</v>
      </c>
      <c r="D230" s="1">
        <v>45309</v>
      </c>
      <c r="E230">
        <v>22838</v>
      </c>
      <c r="F230" t="s">
        <v>39</v>
      </c>
      <c r="G230" t="s">
        <v>17</v>
      </c>
      <c r="H230" t="s">
        <v>51</v>
      </c>
      <c r="I230" t="s">
        <v>27</v>
      </c>
      <c r="J230" t="s">
        <v>79</v>
      </c>
      <c r="K230">
        <v>0</v>
      </c>
      <c r="L230">
        <v>57</v>
      </c>
      <c r="M230" t="s">
        <v>65</v>
      </c>
      <c r="N230" t="s">
        <v>73</v>
      </c>
    </row>
    <row r="231" spans="1:14" x14ac:dyDescent="0.3">
      <c r="A231">
        <v>75904529</v>
      </c>
      <c r="B231" t="s">
        <v>300</v>
      </c>
      <c r="C231" t="s">
        <v>45</v>
      </c>
      <c r="D231" s="1">
        <v>45336</v>
      </c>
      <c r="E231">
        <v>4626</v>
      </c>
      <c r="F231" t="s">
        <v>39</v>
      </c>
      <c r="G231" t="s">
        <v>17</v>
      </c>
      <c r="H231" t="s">
        <v>46</v>
      </c>
      <c r="I231" t="s">
        <v>72</v>
      </c>
      <c r="J231" t="s">
        <v>68</v>
      </c>
      <c r="K231">
        <v>0</v>
      </c>
      <c r="L231">
        <v>17</v>
      </c>
      <c r="M231" t="s">
        <v>58</v>
      </c>
      <c r="N231" t="s">
        <v>36</v>
      </c>
    </row>
    <row r="232" spans="1:14" x14ac:dyDescent="0.3">
      <c r="A232">
        <v>69016171</v>
      </c>
      <c r="B232" t="s">
        <v>301</v>
      </c>
      <c r="C232" t="s">
        <v>31</v>
      </c>
      <c r="D232" s="1">
        <v>45618</v>
      </c>
      <c r="E232">
        <v>24909</v>
      </c>
      <c r="F232" t="s">
        <v>39</v>
      </c>
      <c r="G232" t="s">
        <v>25</v>
      </c>
      <c r="H232" t="s">
        <v>51</v>
      </c>
      <c r="I232" t="s">
        <v>27</v>
      </c>
      <c r="J232" t="s">
        <v>79</v>
      </c>
      <c r="K232">
        <v>0</v>
      </c>
      <c r="L232">
        <v>18</v>
      </c>
      <c r="M232" t="s">
        <v>21</v>
      </c>
      <c r="N232" t="s">
        <v>89</v>
      </c>
    </row>
    <row r="233" spans="1:14" x14ac:dyDescent="0.3">
      <c r="A233">
        <v>96058186</v>
      </c>
      <c r="B233" t="s">
        <v>302</v>
      </c>
      <c r="C233" t="s">
        <v>24</v>
      </c>
      <c r="D233" s="1">
        <v>45310</v>
      </c>
      <c r="E233">
        <v>6890</v>
      </c>
      <c r="F233" t="s">
        <v>61</v>
      </c>
      <c r="G233" t="s">
        <v>71</v>
      </c>
      <c r="H233" t="s">
        <v>40</v>
      </c>
      <c r="I233" t="s">
        <v>19</v>
      </c>
      <c r="J233" t="s">
        <v>68</v>
      </c>
      <c r="K233">
        <v>1</v>
      </c>
      <c r="L233">
        <v>32</v>
      </c>
      <c r="M233" t="s">
        <v>42</v>
      </c>
      <c r="N233" t="s">
        <v>73</v>
      </c>
    </row>
    <row r="234" spans="1:14" x14ac:dyDescent="0.3">
      <c r="A234">
        <v>13034228</v>
      </c>
      <c r="B234" t="s">
        <v>303</v>
      </c>
      <c r="C234" t="s">
        <v>15</v>
      </c>
      <c r="D234" s="1">
        <v>45325</v>
      </c>
      <c r="E234">
        <v>19871</v>
      </c>
      <c r="F234" t="s">
        <v>39</v>
      </c>
      <c r="G234" t="s">
        <v>17</v>
      </c>
      <c r="H234" t="s">
        <v>51</v>
      </c>
      <c r="I234" t="s">
        <v>34</v>
      </c>
      <c r="J234" t="s">
        <v>35</v>
      </c>
      <c r="K234">
        <v>1</v>
      </c>
      <c r="L234">
        <v>44</v>
      </c>
      <c r="M234" t="s">
        <v>65</v>
      </c>
      <c r="N234" t="s">
        <v>87</v>
      </c>
    </row>
    <row r="235" spans="1:14" x14ac:dyDescent="0.3">
      <c r="A235">
        <v>55328276</v>
      </c>
      <c r="B235" t="s">
        <v>304</v>
      </c>
      <c r="C235" t="s">
        <v>38</v>
      </c>
      <c r="D235" s="1">
        <v>45318</v>
      </c>
      <c r="E235">
        <v>20391</v>
      </c>
      <c r="F235" t="s">
        <v>50</v>
      </c>
      <c r="G235" t="s">
        <v>32</v>
      </c>
      <c r="H235" t="s">
        <v>56</v>
      </c>
      <c r="I235" t="s">
        <v>27</v>
      </c>
      <c r="J235" t="s">
        <v>28</v>
      </c>
      <c r="K235">
        <v>0</v>
      </c>
      <c r="L235">
        <v>95</v>
      </c>
      <c r="M235" t="s">
        <v>47</v>
      </c>
      <c r="N235" t="s">
        <v>43</v>
      </c>
    </row>
    <row r="236" spans="1:14" x14ac:dyDescent="0.3">
      <c r="A236">
        <v>88656447</v>
      </c>
      <c r="B236" t="s">
        <v>305</v>
      </c>
      <c r="C236" t="s">
        <v>77</v>
      </c>
      <c r="D236" s="1">
        <v>45559</v>
      </c>
      <c r="E236">
        <v>20815</v>
      </c>
      <c r="F236" t="s">
        <v>16</v>
      </c>
      <c r="G236" t="s">
        <v>55</v>
      </c>
      <c r="H236" t="s">
        <v>81</v>
      </c>
      <c r="I236" t="s">
        <v>27</v>
      </c>
      <c r="J236" t="s">
        <v>28</v>
      </c>
      <c r="K236">
        <v>0</v>
      </c>
      <c r="L236">
        <v>49</v>
      </c>
      <c r="M236" t="s">
        <v>65</v>
      </c>
      <c r="N236" t="s">
        <v>48</v>
      </c>
    </row>
    <row r="237" spans="1:14" x14ac:dyDescent="0.3">
      <c r="A237">
        <v>99785209</v>
      </c>
      <c r="B237" t="s">
        <v>306</v>
      </c>
      <c r="C237" t="s">
        <v>38</v>
      </c>
      <c r="D237" s="1">
        <v>45604</v>
      </c>
      <c r="E237">
        <v>4759</v>
      </c>
      <c r="F237" t="s">
        <v>50</v>
      </c>
      <c r="G237" t="s">
        <v>17</v>
      </c>
      <c r="H237" t="s">
        <v>26</v>
      </c>
      <c r="I237" t="s">
        <v>72</v>
      </c>
      <c r="J237" t="s">
        <v>41</v>
      </c>
      <c r="K237">
        <v>0</v>
      </c>
      <c r="L237">
        <v>32</v>
      </c>
      <c r="M237" t="s">
        <v>58</v>
      </c>
      <c r="N237" t="s">
        <v>46</v>
      </c>
    </row>
    <row r="238" spans="1:14" x14ac:dyDescent="0.3">
      <c r="A238">
        <v>38065614</v>
      </c>
      <c r="B238" t="s">
        <v>307</v>
      </c>
      <c r="C238" t="s">
        <v>77</v>
      </c>
      <c r="D238" s="1">
        <v>45406</v>
      </c>
      <c r="E238">
        <v>4024</v>
      </c>
      <c r="F238" t="s">
        <v>16</v>
      </c>
      <c r="G238" t="s">
        <v>55</v>
      </c>
      <c r="H238" t="s">
        <v>81</v>
      </c>
      <c r="I238" t="s">
        <v>27</v>
      </c>
      <c r="J238" t="s">
        <v>41</v>
      </c>
      <c r="K238">
        <v>0</v>
      </c>
      <c r="L238">
        <v>17</v>
      </c>
      <c r="M238" t="s">
        <v>42</v>
      </c>
      <c r="N238" t="s">
        <v>46</v>
      </c>
    </row>
    <row r="239" spans="1:14" x14ac:dyDescent="0.3">
      <c r="A239">
        <v>62517762</v>
      </c>
      <c r="B239" t="s">
        <v>308</v>
      </c>
      <c r="C239" t="s">
        <v>70</v>
      </c>
      <c r="D239" s="1">
        <v>45386</v>
      </c>
      <c r="E239">
        <v>12321</v>
      </c>
      <c r="F239" t="s">
        <v>16</v>
      </c>
      <c r="G239" t="s">
        <v>32</v>
      </c>
      <c r="H239" t="s">
        <v>40</v>
      </c>
      <c r="I239" t="s">
        <v>72</v>
      </c>
      <c r="J239" t="s">
        <v>28</v>
      </c>
      <c r="K239">
        <v>0</v>
      </c>
      <c r="L239">
        <v>80</v>
      </c>
      <c r="M239" t="s">
        <v>42</v>
      </c>
      <c r="N239" t="s">
        <v>22</v>
      </c>
    </row>
    <row r="240" spans="1:14" x14ac:dyDescent="0.3">
      <c r="A240">
        <v>34035436</v>
      </c>
      <c r="B240" t="s">
        <v>309</v>
      </c>
      <c r="C240" t="s">
        <v>77</v>
      </c>
      <c r="D240" s="1">
        <v>45421</v>
      </c>
      <c r="E240">
        <v>4619</v>
      </c>
      <c r="F240" t="s">
        <v>61</v>
      </c>
      <c r="G240" t="s">
        <v>71</v>
      </c>
      <c r="H240" t="s">
        <v>18</v>
      </c>
      <c r="I240" t="s">
        <v>72</v>
      </c>
      <c r="J240" t="s">
        <v>20</v>
      </c>
      <c r="K240">
        <v>0</v>
      </c>
      <c r="L240">
        <v>55</v>
      </c>
      <c r="M240" t="s">
        <v>29</v>
      </c>
      <c r="N240" t="s">
        <v>59</v>
      </c>
    </row>
    <row r="241" spans="1:14" x14ac:dyDescent="0.3">
      <c r="A241">
        <v>97416206</v>
      </c>
      <c r="B241" t="s">
        <v>310</v>
      </c>
      <c r="C241" t="s">
        <v>54</v>
      </c>
      <c r="D241" s="1">
        <v>45333</v>
      </c>
      <c r="E241">
        <v>7060</v>
      </c>
      <c r="F241" t="s">
        <v>16</v>
      </c>
      <c r="G241" t="s">
        <v>71</v>
      </c>
      <c r="H241" t="s">
        <v>33</v>
      </c>
      <c r="I241" t="s">
        <v>27</v>
      </c>
      <c r="J241" t="s">
        <v>20</v>
      </c>
      <c r="K241">
        <v>0</v>
      </c>
      <c r="L241">
        <v>29</v>
      </c>
      <c r="M241" t="s">
        <v>42</v>
      </c>
      <c r="N241" t="s">
        <v>63</v>
      </c>
    </row>
    <row r="242" spans="1:14" x14ac:dyDescent="0.3">
      <c r="A242">
        <v>18982234</v>
      </c>
      <c r="B242" t="s">
        <v>311</v>
      </c>
      <c r="C242" t="s">
        <v>75</v>
      </c>
      <c r="D242" s="1">
        <v>45568</v>
      </c>
      <c r="E242">
        <v>11009</v>
      </c>
      <c r="F242" t="s">
        <v>39</v>
      </c>
      <c r="G242" t="s">
        <v>32</v>
      </c>
      <c r="H242" t="s">
        <v>18</v>
      </c>
      <c r="I242" t="s">
        <v>72</v>
      </c>
      <c r="J242" t="s">
        <v>79</v>
      </c>
      <c r="K242">
        <v>0</v>
      </c>
      <c r="L242">
        <v>43</v>
      </c>
      <c r="M242" t="s">
        <v>47</v>
      </c>
      <c r="N242" t="s">
        <v>87</v>
      </c>
    </row>
    <row r="243" spans="1:14" x14ac:dyDescent="0.3">
      <c r="A243">
        <v>75876902</v>
      </c>
      <c r="B243" t="s">
        <v>312</v>
      </c>
      <c r="C243" t="s">
        <v>15</v>
      </c>
      <c r="D243" s="1">
        <v>45396</v>
      </c>
      <c r="E243">
        <v>13717</v>
      </c>
      <c r="F243" t="s">
        <v>16</v>
      </c>
      <c r="G243" t="s">
        <v>17</v>
      </c>
      <c r="H243" t="s">
        <v>18</v>
      </c>
      <c r="I243" t="s">
        <v>34</v>
      </c>
      <c r="J243" t="s">
        <v>85</v>
      </c>
      <c r="K243">
        <v>1</v>
      </c>
      <c r="L243">
        <v>32</v>
      </c>
      <c r="M243" t="s">
        <v>47</v>
      </c>
      <c r="N243" t="s">
        <v>48</v>
      </c>
    </row>
    <row r="244" spans="1:14" x14ac:dyDescent="0.3">
      <c r="A244">
        <v>84378270</v>
      </c>
      <c r="B244" t="s">
        <v>313</v>
      </c>
      <c r="C244" t="s">
        <v>31</v>
      </c>
      <c r="D244" s="1">
        <v>45526</v>
      </c>
      <c r="E244">
        <v>9479</v>
      </c>
      <c r="F244" t="s">
        <v>39</v>
      </c>
      <c r="G244" t="s">
        <v>71</v>
      </c>
      <c r="H244" t="s">
        <v>26</v>
      </c>
      <c r="I244" t="s">
        <v>72</v>
      </c>
      <c r="J244" t="s">
        <v>35</v>
      </c>
      <c r="K244">
        <v>1</v>
      </c>
      <c r="L244">
        <v>22</v>
      </c>
      <c r="M244" t="s">
        <v>65</v>
      </c>
      <c r="N244" t="s">
        <v>43</v>
      </c>
    </row>
    <row r="245" spans="1:14" x14ac:dyDescent="0.3">
      <c r="A245">
        <v>11103414</v>
      </c>
      <c r="B245" t="s">
        <v>314</v>
      </c>
      <c r="C245" t="s">
        <v>15</v>
      </c>
      <c r="D245" s="1">
        <v>45638</v>
      </c>
      <c r="E245">
        <v>867</v>
      </c>
      <c r="F245" t="s">
        <v>39</v>
      </c>
      <c r="G245" t="s">
        <v>25</v>
      </c>
      <c r="H245" t="s">
        <v>103</v>
      </c>
      <c r="I245" t="s">
        <v>27</v>
      </c>
      <c r="J245" t="s">
        <v>85</v>
      </c>
      <c r="K245">
        <v>0</v>
      </c>
      <c r="L245">
        <v>17</v>
      </c>
      <c r="M245" t="s">
        <v>29</v>
      </c>
      <c r="N245" t="s">
        <v>43</v>
      </c>
    </row>
    <row r="246" spans="1:14" x14ac:dyDescent="0.3">
      <c r="A246">
        <v>20917683</v>
      </c>
      <c r="B246" t="s">
        <v>315</v>
      </c>
      <c r="C246" t="s">
        <v>77</v>
      </c>
      <c r="D246" s="1">
        <v>45288</v>
      </c>
      <c r="E246">
        <v>21511</v>
      </c>
      <c r="F246" t="s">
        <v>39</v>
      </c>
      <c r="G246" t="s">
        <v>71</v>
      </c>
      <c r="H246" t="s">
        <v>103</v>
      </c>
      <c r="I246" t="s">
        <v>27</v>
      </c>
      <c r="J246" t="s">
        <v>20</v>
      </c>
      <c r="K246">
        <v>0</v>
      </c>
      <c r="L246">
        <v>90</v>
      </c>
      <c r="M246" t="s">
        <v>42</v>
      </c>
      <c r="N246" t="s">
        <v>73</v>
      </c>
    </row>
    <row r="247" spans="1:14" x14ac:dyDescent="0.3">
      <c r="A247">
        <v>22770356</v>
      </c>
      <c r="B247" t="s">
        <v>316</v>
      </c>
      <c r="C247" t="s">
        <v>75</v>
      </c>
      <c r="D247" s="1">
        <v>45596</v>
      </c>
      <c r="E247">
        <v>16910</v>
      </c>
      <c r="F247" t="s">
        <v>16</v>
      </c>
      <c r="G247" t="s">
        <v>17</v>
      </c>
      <c r="H247" t="s">
        <v>103</v>
      </c>
      <c r="I247" t="s">
        <v>72</v>
      </c>
      <c r="J247" t="s">
        <v>41</v>
      </c>
      <c r="K247">
        <v>1</v>
      </c>
      <c r="L247">
        <v>43</v>
      </c>
      <c r="M247" t="s">
        <v>58</v>
      </c>
      <c r="N247" t="s">
        <v>59</v>
      </c>
    </row>
    <row r="248" spans="1:14" x14ac:dyDescent="0.3">
      <c r="A248">
        <v>82767917</v>
      </c>
      <c r="B248" t="s">
        <v>317</v>
      </c>
      <c r="C248" t="s">
        <v>24</v>
      </c>
      <c r="D248" s="1">
        <v>45432</v>
      </c>
      <c r="E248">
        <v>10045</v>
      </c>
      <c r="F248" t="s">
        <v>16</v>
      </c>
      <c r="G248" t="s">
        <v>32</v>
      </c>
      <c r="H248" t="s">
        <v>103</v>
      </c>
      <c r="I248" t="s">
        <v>72</v>
      </c>
      <c r="J248" t="s">
        <v>35</v>
      </c>
      <c r="K248">
        <v>0</v>
      </c>
      <c r="L248">
        <v>17</v>
      </c>
      <c r="M248" t="s">
        <v>47</v>
      </c>
      <c r="N248" t="s">
        <v>36</v>
      </c>
    </row>
    <row r="249" spans="1:14" x14ac:dyDescent="0.3">
      <c r="A249">
        <v>47451037</v>
      </c>
      <c r="B249" t="s">
        <v>318</v>
      </c>
      <c r="C249" t="s">
        <v>101</v>
      </c>
      <c r="D249" s="1">
        <v>45592</v>
      </c>
      <c r="E249">
        <v>20937</v>
      </c>
      <c r="F249" t="s">
        <v>16</v>
      </c>
      <c r="G249" t="s">
        <v>25</v>
      </c>
      <c r="H249" t="s">
        <v>62</v>
      </c>
      <c r="I249" t="s">
        <v>19</v>
      </c>
      <c r="J249" t="s">
        <v>52</v>
      </c>
      <c r="K249">
        <v>0</v>
      </c>
      <c r="L249">
        <v>39</v>
      </c>
      <c r="M249" t="s">
        <v>29</v>
      </c>
      <c r="N249" t="s">
        <v>43</v>
      </c>
    </row>
    <row r="250" spans="1:14" x14ac:dyDescent="0.3">
      <c r="A250">
        <v>26950485</v>
      </c>
      <c r="B250" t="s">
        <v>319</v>
      </c>
      <c r="C250" t="s">
        <v>75</v>
      </c>
      <c r="D250" s="1">
        <v>45377</v>
      </c>
      <c r="E250">
        <v>23615</v>
      </c>
      <c r="F250" t="s">
        <v>61</v>
      </c>
      <c r="G250" t="s">
        <v>71</v>
      </c>
      <c r="H250" t="s">
        <v>62</v>
      </c>
      <c r="I250" t="s">
        <v>34</v>
      </c>
      <c r="J250" t="s">
        <v>41</v>
      </c>
      <c r="K250">
        <v>0</v>
      </c>
      <c r="L250">
        <v>70</v>
      </c>
      <c r="M250" t="s">
        <v>58</v>
      </c>
      <c r="N250" t="s">
        <v>73</v>
      </c>
    </row>
    <row r="251" spans="1:14" x14ac:dyDescent="0.3">
      <c r="A251">
        <v>22585061</v>
      </c>
      <c r="B251" t="s">
        <v>215</v>
      </c>
      <c r="C251" t="s">
        <v>38</v>
      </c>
      <c r="D251" s="1">
        <v>45640</v>
      </c>
      <c r="E251">
        <v>20134</v>
      </c>
      <c r="F251" t="s">
        <v>16</v>
      </c>
      <c r="G251" t="s">
        <v>17</v>
      </c>
      <c r="H251" t="s">
        <v>103</v>
      </c>
      <c r="I251" t="s">
        <v>34</v>
      </c>
      <c r="J251" t="s">
        <v>52</v>
      </c>
      <c r="K251">
        <v>0</v>
      </c>
      <c r="L251">
        <v>49</v>
      </c>
      <c r="M251" t="s">
        <v>21</v>
      </c>
      <c r="N251" t="s">
        <v>46</v>
      </c>
    </row>
    <row r="252" spans="1:14" x14ac:dyDescent="0.3">
      <c r="A252">
        <v>74089321</v>
      </c>
      <c r="B252" t="s">
        <v>320</v>
      </c>
      <c r="C252" t="s">
        <v>77</v>
      </c>
      <c r="D252" s="1">
        <v>45528</v>
      </c>
      <c r="E252">
        <v>8391</v>
      </c>
      <c r="F252" t="s">
        <v>39</v>
      </c>
      <c r="G252" t="s">
        <v>25</v>
      </c>
      <c r="H252" t="s">
        <v>62</v>
      </c>
      <c r="I252" t="s">
        <v>34</v>
      </c>
      <c r="J252" t="s">
        <v>41</v>
      </c>
      <c r="K252">
        <v>0</v>
      </c>
      <c r="L252">
        <v>12</v>
      </c>
      <c r="M252" t="s">
        <v>42</v>
      </c>
      <c r="N252" t="s">
        <v>59</v>
      </c>
    </row>
    <row r="253" spans="1:14" x14ac:dyDescent="0.3">
      <c r="A253">
        <v>26400306</v>
      </c>
      <c r="B253" t="s">
        <v>321</v>
      </c>
      <c r="C253" t="s">
        <v>77</v>
      </c>
      <c r="D253" s="1">
        <v>45615</v>
      </c>
      <c r="E253">
        <v>24466</v>
      </c>
      <c r="F253" t="s">
        <v>39</v>
      </c>
      <c r="G253" t="s">
        <v>17</v>
      </c>
      <c r="H253" t="s">
        <v>51</v>
      </c>
      <c r="I253" t="s">
        <v>19</v>
      </c>
      <c r="J253" t="s">
        <v>52</v>
      </c>
      <c r="K253">
        <v>1</v>
      </c>
      <c r="L253">
        <v>60</v>
      </c>
      <c r="M253" t="s">
        <v>47</v>
      </c>
      <c r="N253" t="s">
        <v>87</v>
      </c>
    </row>
    <row r="254" spans="1:14" x14ac:dyDescent="0.3">
      <c r="A254">
        <v>70441809</v>
      </c>
      <c r="B254" t="s">
        <v>322</v>
      </c>
      <c r="C254" t="s">
        <v>45</v>
      </c>
      <c r="D254" s="1">
        <v>45536</v>
      </c>
      <c r="E254">
        <v>4478</v>
      </c>
      <c r="F254" t="s">
        <v>61</v>
      </c>
      <c r="G254" t="s">
        <v>32</v>
      </c>
      <c r="H254" t="s">
        <v>26</v>
      </c>
      <c r="I254" t="s">
        <v>27</v>
      </c>
      <c r="J254" t="s">
        <v>68</v>
      </c>
      <c r="K254">
        <v>0</v>
      </c>
      <c r="L254">
        <v>27</v>
      </c>
      <c r="M254" t="s">
        <v>65</v>
      </c>
      <c r="N254" t="s">
        <v>48</v>
      </c>
    </row>
    <row r="255" spans="1:14" x14ac:dyDescent="0.3">
      <c r="A255">
        <v>90474062</v>
      </c>
      <c r="B255" t="s">
        <v>323</v>
      </c>
      <c r="C255" t="s">
        <v>101</v>
      </c>
      <c r="D255" s="1">
        <v>45485</v>
      </c>
      <c r="E255">
        <v>11512</v>
      </c>
      <c r="F255" t="s">
        <v>16</v>
      </c>
      <c r="G255" t="s">
        <v>71</v>
      </c>
      <c r="H255" t="s">
        <v>26</v>
      </c>
      <c r="I255" t="s">
        <v>19</v>
      </c>
      <c r="J255" t="s">
        <v>41</v>
      </c>
      <c r="K255">
        <v>1</v>
      </c>
      <c r="L255">
        <v>72</v>
      </c>
      <c r="M255" t="s">
        <v>29</v>
      </c>
      <c r="N255" t="s">
        <v>48</v>
      </c>
    </row>
    <row r="256" spans="1:14" x14ac:dyDescent="0.3">
      <c r="A256">
        <v>10036453</v>
      </c>
      <c r="B256" t="s">
        <v>324</v>
      </c>
      <c r="C256" t="s">
        <v>77</v>
      </c>
      <c r="D256" s="1">
        <v>45332</v>
      </c>
      <c r="E256">
        <v>13620</v>
      </c>
      <c r="F256" t="s">
        <v>16</v>
      </c>
      <c r="G256" t="s">
        <v>71</v>
      </c>
      <c r="H256" t="s">
        <v>81</v>
      </c>
      <c r="I256" t="s">
        <v>34</v>
      </c>
      <c r="J256" t="s">
        <v>57</v>
      </c>
      <c r="K256">
        <v>0</v>
      </c>
      <c r="L256">
        <v>76</v>
      </c>
      <c r="M256" t="s">
        <v>29</v>
      </c>
      <c r="N256" t="s">
        <v>89</v>
      </c>
    </row>
    <row r="257" spans="1:14" x14ac:dyDescent="0.3">
      <c r="A257">
        <v>90028796</v>
      </c>
      <c r="B257" t="s">
        <v>325</v>
      </c>
      <c r="C257" t="s">
        <v>38</v>
      </c>
      <c r="D257" s="1">
        <v>45445</v>
      </c>
      <c r="E257">
        <v>18763</v>
      </c>
      <c r="F257" t="s">
        <v>16</v>
      </c>
      <c r="G257" t="s">
        <v>17</v>
      </c>
      <c r="H257" t="s">
        <v>18</v>
      </c>
      <c r="I257" t="s">
        <v>27</v>
      </c>
      <c r="J257" t="s">
        <v>20</v>
      </c>
      <c r="K257">
        <v>0</v>
      </c>
      <c r="L257">
        <v>27</v>
      </c>
      <c r="M257" t="s">
        <v>47</v>
      </c>
      <c r="N257" t="s">
        <v>87</v>
      </c>
    </row>
    <row r="258" spans="1:14" x14ac:dyDescent="0.3">
      <c r="A258">
        <v>84110896</v>
      </c>
      <c r="B258" t="s">
        <v>326</v>
      </c>
      <c r="C258" t="s">
        <v>70</v>
      </c>
      <c r="D258" s="1">
        <v>45593</v>
      </c>
      <c r="E258">
        <v>18831</v>
      </c>
      <c r="F258" t="s">
        <v>50</v>
      </c>
      <c r="G258" t="s">
        <v>55</v>
      </c>
      <c r="H258" t="s">
        <v>33</v>
      </c>
      <c r="I258" t="s">
        <v>34</v>
      </c>
      <c r="J258" t="s">
        <v>85</v>
      </c>
      <c r="K258">
        <v>0</v>
      </c>
      <c r="L258">
        <v>30</v>
      </c>
      <c r="M258" t="s">
        <v>21</v>
      </c>
      <c r="N258" t="s">
        <v>46</v>
      </c>
    </row>
    <row r="259" spans="1:14" x14ac:dyDescent="0.3">
      <c r="A259">
        <v>77878340</v>
      </c>
      <c r="B259" t="s">
        <v>327</v>
      </c>
      <c r="C259" t="s">
        <v>38</v>
      </c>
      <c r="D259" s="1">
        <v>45560</v>
      </c>
      <c r="E259">
        <v>20431</v>
      </c>
      <c r="F259" t="s">
        <v>16</v>
      </c>
      <c r="G259" t="s">
        <v>25</v>
      </c>
      <c r="H259" t="s">
        <v>33</v>
      </c>
      <c r="I259" t="s">
        <v>34</v>
      </c>
      <c r="J259" t="s">
        <v>20</v>
      </c>
      <c r="K259">
        <v>1</v>
      </c>
      <c r="L259">
        <v>20</v>
      </c>
      <c r="M259" t="s">
        <v>47</v>
      </c>
      <c r="N259" t="s">
        <v>89</v>
      </c>
    </row>
    <row r="260" spans="1:14" x14ac:dyDescent="0.3">
      <c r="A260">
        <v>17767871</v>
      </c>
      <c r="B260" t="s">
        <v>328</v>
      </c>
      <c r="C260" t="s">
        <v>38</v>
      </c>
      <c r="D260" s="1">
        <v>45458</v>
      </c>
      <c r="E260">
        <v>7286</v>
      </c>
      <c r="F260" t="s">
        <v>16</v>
      </c>
      <c r="G260" t="s">
        <v>17</v>
      </c>
      <c r="H260" t="s">
        <v>51</v>
      </c>
      <c r="I260" t="s">
        <v>34</v>
      </c>
      <c r="J260" t="s">
        <v>68</v>
      </c>
      <c r="K260">
        <v>0</v>
      </c>
      <c r="L260">
        <v>90</v>
      </c>
      <c r="M260" t="s">
        <v>42</v>
      </c>
      <c r="N260" t="s">
        <v>59</v>
      </c>
    </row>
    <row r="261" spans="1:14" x14ac:dyDescent="0.3">
      <c r="A261">
        <v>55084639</v>
      </c>
      <c r="B261" t="s">
        <v>329</v>
      </c>
      <c r="C261" t="s">
        <v>15</v>
      </c>
      <c r="D261" s="1">
        <v>45279</v>
      </c>
      <c r="E261">
        <v>18201</v>
      </c>
      <c r="F261" t="s">
        <v>39</v>
      </c>
      <c r="G261" t="s">
        <v>55</v>
      </c>
      <c r="H261" t="s">
        <v>81</v>
      </c>
      <c r="I261" t="s">
        <v>27</v>
      </c>
      <c r="J261" t="s">
        <v>41</v>
      </c>
      <c r="K261">
        <v>0</v>
      </c>
      <c r="L261">
        <v>55</v>
      </c>
      <c r="M261" t="s">
        <v>65</v>
      </c>
      <c r="N261" t="s">
        <v>22</v>
      </c>
    </row>
    <row r="262" spans="1:14" x14ac:dyDescent="0.3">
      <c r="A262">
        <v>43909427</v>
      </c>
      <c r="B262" t="s">
        <v>330</v>
      </c>
      <c r="C262" t="s">
        <v>38</v>
      </c>
      <c r="D262" s="1">
        <v>45481</v>
      </c>
      <c r="E262">
        <v>12237</v>
      </c>
      <c r="F262" t="s">
        <v>61</v>
      </c>
      <c r="G262" t="s">
        <v>17</v>
      </c>
      <c r="H262" t="s">
        <v>51</v>
      </c>
      <c r="I262" t="s">
        <v>27</v>
      </c>
      <c r="J262" t="s">
        <v>20</v>
      </c>
      <c r="K262">
        <v>0</v>
      </c>
      <c r="L262">
        <v>81</v>
      </c>
      <c r="M262" t="s">
        <v>58</v>
      </c>
      <c r="N262" t="s">
        <v>22</v>
      </c>
    </row>
    <row r="263" spans="1:14" x14ac:dyDescent="0.3">
      <c r="A263">
        <v>11903948</v>
      </c>
      <c r="B263" t="s">
        <v>331</v>
      </c>
      <c r="C263" t="s">
        <v>31</v>
      </c>
      <c r="D263" s="1">
        <v>45598</v>
      </c>
      <c r="E263">
        <v>13678</v>
      </c>
      <c r="F263" t="s">
        <v>61</v>
      </c>
      <c r="G263" t="s">
        <v>55</v>
      </c>
      <c r="H263" t="s">
        <v>103</v>
      </c>
      <c r="I263" t="s">
        <v>72</v>
      </c>
      <c r="J263" t="s">
        <v>79</v>
      </c>
      <c r="K263">
        <v>0</v>
      </c>
      <c r="L263">
        <v>64</v>
      </c>
      <c r="M263" t="s">
        <v>42</v>
      </c>
      <c r="N263" t="s">
        <v>63</v>
      </c>
    </row>
    <row r="264" spans="1:14" x14ac:dyDescent="0.3">
      <c r="A264">
        <v>59019965</v>
      </c>
      <c r="B264" t="s">
        <v>332</v>
      </c>
      <c r="C264" t="s">
        <v>15</v>
      </c>
      <c r="D264" s="1">
        <v>45283</v>
      </c>
      <c r="E264">
        <v>16720</v>
      </c>
      <c r="F264" t="s">
        <v>61</v>
      </c>
      <c r="G264" t="s">
        <v>55</v>
      </c>
      <c r="H264" t="s">
        <v>40</v>
      </c>
      <c r="I264" t="s">
        <v>27</v>
      </c>
      <c r="J264" t="s">
        <v>41</v>
      </c>
      <c r="K264">
        <v>0</v>
      </c>
      <c r="L264">
        <v>69</v>
      </c>
      <c r="M264" t="s">
        <v>58</v>
      </c>
      <c r="N264" t="s">
        <v>48</v>
      </c>
    </row>
    <row r="265" spans="1:14" x14ac:dyDescent="0.3">
      <c r="A265">
        <v>41835616</v>
      </c>
      <c r="B265" t="s">
        <v>333</v>
      </c>
      <c r="C265" t="s">
        <v>101</v>
      </c>
      <c r="D265" s="1">
        <v>45614</v>
      </c>
      <c r="E265">
        <v>17014</v>
      </c>
      <c r="F265" t="s">
        <v>39</v>
      </c>
      <c r="G265" t="s">
        <v>17</v>
      </c>
      <c r="H265" t="s">
        <v>18</v>
      </c>
      <c r="I265" t="s">
        <v>27</v>
      </c>
      <c r="J265" t="s">
        <v>35</v>
      </c>
      <c r="K265">
        <v>0</v>
      </c>
      <c r="L265">
        <v>69</v>
      </c>
      <c r="M265" t="s">
        <v>21</v>
      </c>
      <c r="N265" t="s">
        <v>43</v>
      </c>
    </row>
    <row r="266" spans="1:14" x14ac:dyDescent="0.3">
      <c r="A266">
        <v>27433729</v>
      </c>
      <c r="B266" t="s">
        <v>334</v>
      </c>
      <c r="C266" t="s">
        <v>31</v>
      </c>
      <c r="D266" s="1">
        <v>45315</v>
      </c>
      <c r="E266">
        <v>24000</v>
      </c>
      <c r="F266" t="s">
        <v>39</v>
      </c>
      <c r="G266" t="s">
        <v>55</v>
      </c>
      <c r="H266" t="s">
        <v>103</v>
      </c>
      <c r="I266" t="s">
        <v>27</v>
      </c>
      <c r="J266" t="s">
        <v>41</v>
      </c>
      <c r="K266">
        <v>0</v>
      </c>
      <c r="L266">
        <v>92</v>
      </c>
      <c r="M266" t="s">
        <v>65</v>
      </c>
      <c r="N266" t="s">
        <v>63</v>
      </c>
    </row>
    <row r="267" spans="1:14" x14ac:dyDescent="0.3">
      <c r="A267">
        <v>87906190</v>
      </c>
      <c r="B267" t="s">
        <v>335</v>
      </c>
      <c r="C267" t="s">
        <v>24</v>
      </c>
      <c r="D267" s="1">
        <v>45387</v>
      </c>
      <c r="E267">
        <v>15370</v>
      </c>
      <c r="F267" t="s">
        <v>16</v>
      </c>
      <c r="G267" t="s">
        <v>17</v>
      </c>
      <c r="H267" t="s">
        <v>33</v>
      </c>
      <c r="I267" t="s">
        <v>34</v>
      </c>
      <c r="J267" t="s">
        <v>52</v>
      </c>
      <c r="K267">
        <v>1</v>
      </c>
      <c r="L267">
        <v>90</v>
      </c>
      <c r="M267" t="s">
        <v>58</v>
      </c>
      <c r="N267" t="s">
        <v>22</v>
      </c>
    </row>
    <row r="268" spans="1:14" x14ac:dyDescent="0.3">
      <c r="A268">
        <v>60239461</v>
      </c>
      <c r="B268" t="s">
        <v>336</v>
      </c>
      <c r="C268" t="s">
        <v>54</v>
      </c>
      <c r="D268" s="1">
        <v>45374</v>
      </c>
      <c r="E268">
        <v>12022</v>
      </c>
      <c r="F268" t="s">
        <v>61</v>
      </c>
      <c r="G268" t="s">
        <v>55</v>
      </c>
      <c r="H268" t="s">
        <v>51</v>
      </c>
      <c r="I268" t="s">
        <v>27</v>
      </c>
      <c r="J268" t="s">
        <v>68</v>
      </c>
      <c r="K268">
        <v>1</v>
      </c>
      <c r="L268">
        <v>35</v>
      </c>
      <c r="M268" t="s">
        <v>42</v>
      </c>
      <c r="N268" t="s">
        <v>63</v>
      </c>
    </row>
    <row r="269" spans="1:14" x14ac:dyDescent="0.3">
      <c r="A269">
        <v>93873983</v>
      </c>
      <c r="B269" t="s">
        <v>337</v>
      </c>
      <c r="C269" t="s">
        <v>75</v>
      </c>
      <c r="D269" s="1">
        <v>45472</v>
      </c>
      <c r="E269">
        <v>24832</v>
      </c>
      <c r="F269" t="s">
        <v>50</v>
      </c>
      <c r="G269" t="s">
        <v>17</v>
      </c>
      <c r="H269" t="s">
        <v>62</v>
      </c>
      <c r="I269" t="s">
        <v>34</v>
      </c>
      <c r="J269" t="s">
        <v>20</v>
      </c>
      <c r="K269">
        <v>0</v>
      </c>
      <c r="L269">
        <v>69</v>
      </c>
      <c r="M269" t="s">
        <v>47</v>
      </c>
      <c r="N269" t="s">
        <v>73</v>
      </c>
    </row>
    <row r="270" spans="1:14" x14ac:dyDescent="0.3">
      <c r="A270">
        <v>37506434</v>
      </c>
      <c r="B270" t="s">
        <v>338</v>
      </c>
      <c r="C270" t="s">
        <v>75</v>
      </c>
      <c r="D270" s="1">
        <v>45584</v>
      </c>
      <c r="E270">
        <v>14758</v>
      </c>
      <c r="F270" t="s">
        <v>61</v>
      </c>
      <c r="G270" t="s">
        <v>71</v>
      </c>
      <c r="H270" t="s">
        <v>26</v>
      </c>
      <c r="I270" t="s">
        <v>27</v>
      </c>
      <c r="J270" t="s">
        <v>28</v>
      </c>
      <c r="K270">
        <v>0</v>
      </c>
      <c r="L270">
        <v>39</v>
      </c>
      <c r="M270" t="s">
        <v>21</v>
      </c>
      <c r="N270" t="s">
        <v>48</v>
      </c>
    </row>
    <row r="271" spans="1:14" x14ac:dyDescent="0.3">
      <c r="A271">
        <v>36595607</v>
      </c>
      <c r="B271" t="s">
        <v>339</v>
      </c>
      <c r="C271" t="s">
        <v>24</v>
      </c>
      <c r="D271" s="1">
        <v>45400</v>
      </c>
      <c r="E271">
        <v>21612</v>
      </c>
      <c r="F271" t="s">
        <v>61</v>
      </c>
      <c r="G271" t="s">
        <v>32</v>
      </c>
      <c r="H271" t="s">
        <v>33</v>
      </c>
      <c r="I271" t="s">
        <v>19</v>
      </c>
      <c r="J271" t="s">
        <v>35</v>
      </c>
      <c r="K271">
        <v>0</v>
      </c>
      <c r="L271">
        <v>15</v>
      </c>
      <c r="M271" t="s">
        <v>65</v>
      </c>
      <c r="N271" t="s">
        <v>22</v>
      </c>
    </row>
    <row r="272" spans="1:14" x14ac:dyDescent="0.3">
      <c r="A272">
        <v>94337967</v>
      </c>
      <c r="B272" t="s">
        <v>340</v>
      </c>
      <c r="C272" t="s">
        <v>15</v>
      </c>
      <c r="D272" s="1">
        <v>45397</v>
      </c>
      <c r="E272">
        <v>179</v>
      </c>
      <c r="F272" t="s">
        <v>39</v>
      </c>
      <c r="G272" t="s">
        <v>17</v>
      </c>
      <c r="H272" t="s">
        <v>46</v>
      </c>
      <c r="I272" t="s">
        <v>34</v>
      </c>
      <c r="J272" t="s">
        <v>52</v>
      </c>
      <c r="K272">
        <v>1</v>
      </c>
      <c r="L272">
        <v>78</v>
      </c>
      <c r="M272" t="s">
        <v>29</v>
      </c>
      <c r="N272" t="s">
        <v>22</v>
      </c>
    </row>
    <row r="273" spans="1:14" x14ac:dyDescent="0.3">
      <c r="A273">
        <v>77985819</v>
      </c>
      <c r="B273" t="s">
        <v>341</v>
      </c>
      <c r="C273" t="s">
        <v>45</v>
      </c>
      <c r="D273" s="1">
        <v>45501</v>
      </c>
      <c r="E273">
        <v>16968</v>
      </c>
      <c r="F273" t="s">
        <v>39</v>
      </c>
      <c r="G273" t="s">
        <v>17</v>
      </c>
      <c r="H273" t="s">
        <v>33</v>
      </c>
      <c r="I273" t="s">
        <v>27</v>
      </c>
      <c r="J273" t="s">
        <v>68</v>
      </c>
      <c r="K273">
        <v>0</v>
      </c>
      <c r="L273">
        <v>89</v>
      </c>
      <c r="M273" t="s">
        <v>29</v>
      </c>
      <c r="N273" t="s">
        <v>59</v>
      </c>
    </row>
    <row r="274" spans="1:14" x14ac:dyDescent="0.3">
      <c r="A274">
        <v>16720205</v>
      </c>
      <c r="B274" t="s">
        <v>342</v>
      </c>
      <c r="C274" t="s">
        <v>45</v>
      </c>
      <c r="D274" s="1">
        <v>45578</v>
      </c>
      <c r="E274">
        <v>1086</v>
      </c>
      <c r="F274" t="s">
        <v>39</v>
      </c>
      <c r="G274" t="s">
        <v>17</v>
      </c>
      <c r="H274" t="s">
        <v>62</v>
      </c>
      <c r="I274" t="s">
        <v>19</v>
      </c>
      <c r="J274" t="s">
        <v>79</v>
      </c>
      <c r="K274">
        <v>0</v>
      </c>
      <c r="L274">
        <v>34</v>
      </c>
      <c r="M274" t="s">
        <v>47</v>
      </c>
      <c r="N274" t="s">
        <v>73</v>
      </c>
    </row>
    <row r="275" spans="1:14" x14ac:dyDescent="0.3">
      <c r="A275">
        <v>10278817</v>
      </c>
      <c r="B275" t="s">
        <v>343</v>
      </c>
      <c r="C275" t="s">
        <v>70</v>
      </c>
      <c r="D275" s="1">
        <v>45369</v>
      </c>
      <c r="E275">
        <v>14950</v>
      </c>
      <c r="F275" t="s">
        <v>39</v>
      </c>
      <c r="G275" t="s">
        <v>25</v>
      </c>
      <c r="H275" t="s">
        <v>103</v>
      </c>
      <c r="I275" t="s">
        <v>19</v>
      </c>
      <c r="J275" t="s">
        <v>85</v>
      </c>
      <c r="K275">
        <v>1</v>
      </c>
      <c r="L275">
        <v>37</v>
      </c>
      <c r="M275" t="s">
        <v>29</v>
      </c>
      <c r="N275" t="s">
        <v>63</v>
      </c>
    </row>
    <row r="276" spans="1:14" x14ac:dyDescent="0.3">
      <c r="A276">
        <v>21513009</v>
      </c>
      <c r="B276" t="s">
        <v>344</v>
      </c>
      <c r="C276" t="s">
        <v>31</v>
      </c>
      <c r="D276" s="1">
        <v>45640</v>
      </c>
      <c r="E276">
        <v>23277</v>
      </c>
      <c r="F276" t="s">
        <v>50</v>
      </c>
      <c r="G276" t="s">
        <v>25</v>
      </c>
      <c r="H276" t="s">
        <v>40</v>
      </c>
      <c r="I276" t="s">
        <v>19</v>
      </c>
      <c r="J276" t="s">
        <v>20</v>
      </c>
      <c r="K276">
        <v>0</v>
      </c>
      <c r="L276">
        <v>16</v>
      </c>
      <c r="M276" t="s">
        <v>42</v>
      </c>
      <c r="N276" t="s">
        <v>89</v>
      </c>
    </row>
    <row r="277" spans="1:14" x14ac:dyDescent="0.3">
      <c r="A277">
        <v>46620083</v>
      </c>
      <c r="B277" t="s">
        <v>345</v>
      </c>
      <c r="C277" t="s">
        <v>101</v>
      </c>
      <c r="D277" s="1">
        <v>45345</v>
      </c>
      <c r="E277">
        <v>14304</v>
      </c>
      <c r="F277" t="s">
        <v>16</v>
      </c>
      <c r="G277" t="s">
        <v>55</v>
      </c>
      <c r="H277" t="s">
        <v>40</v>
      </c>
      <c r="I277" t="s">
        <v>34</v>
      </c>
      <c r="J277" t="s">
        <v>41</v>
      </c>
      <c r="K277">
        <v>1</v>
      </c>
      <c r="L277">
        <v>52</v>
      </c>
      <c r="M277" t="s">
        <v>65</v>
      </c>
      <c r="N277" t="s">
        <v>59</v>
      </c>
    </row>
    <row r="278" spans="1:14" x14ac:dyDescent="0.3">
      <c r="A278">
        <v>64197841</v>
      </c>
      <c r="B278" t="s">
        <v>346</v>
      </c>
      <c r="C278" t="s">
        <v>31</v>
      </c>
      <c r="D278" s="1">
        <v>45395</v>
      </c>
      <c r="E278">
        <v>14451</v>
      </c>
      <c r="F278" t="s">
        <v>61</v>
      </c>
      <c r="G278" t="s">
        <v>32</v>
      </c>
      <c r="H278" t="s">
        <v>26</v>
      </c>
      <c r="I278" t="s">
        <v>19</v>
      </c>
      <c r="J278" t="s">
        <v>28</v>
      </c>
      <c r="K278">
        <v>0</v>
      </c>
      <c r="L278">
        <v>48</v>
      </c>
      <c r="M278" t="s">
        <v>21</v>
      </c>
      <c r="N278" t="s">
        <v>36</v>
      </c>
    </row>
    <row r="279" spans="1:14" x14ac:dyDescent="0.3">
      <c r="A279">
        <v>65593686</v>
      </c>
      <c r="B279" t="s">
        <v>347</v>
      </c>
      <c r="C279" t="s">
        <v>75</v>
      </c>
      <c r="D279" s="1">
        <v>45569</v>
      </c>
      <c r="E279">
        <v>16570</v>
      </c>
      <c r="F279" t="s">
        <v>39</v>
      </c>
      <c r="G279" t="s">
        <v>71</v>
      </c>
      <c r="H279" t="s">
        <v>18</v>
      </c>
      <c r="I279" t="s">
        <v>27</v>
      </c>
      <c r="J279" t="s">
        <v>57</v>
      </c>
      <c r="K279">
        <v>0</v>
      </c>
      <c r="L279">
        <v>60</v>
      </c>
      <c r="M279" t="s">
        <v>29</v>
      </c>
      <c r="N279" t="s">
        <v>22</v>
      </c>
    </row>
    <row r="280" spans="1:14" x14ac:dyDescent="0.3">
      <c r="A280">
        <v>32746603</v>
      </c>
      <c r="B280" t="s">
        <v>348</v>
      </c>
      <c r="C280" t="s">
        <v>77</v>
      </c>
      <c r="D280" s="1">
        <v>45456</v>
      </c>
      <c r="E280">
        <v>18665</v>
      </c>
      <c r="F280" t="s">
        <v>39</v>
      </c>
      <c r="G280" t="s">
        <v>71</v>
      </c>
      <c r="H280" t="s">
        <v>40</v>
      </c>
      <c r="I280" t="s">
        <v>34</v>
      </c>
      <c r="J280" t="s">
        <v>52</v>
      </c>
      <c r="K280">
        <v>0</v>
      </c>
      <c r="L280">
        <v>58</v>
      </c>
      <c r="M280" t="s">
        <v>42</v>
      </c>
      <c r="N280" t="s">
        <v>89</v>
      </c>
    </row>
    <row r="281" spans="1:14" x14ac:dyDescent="0.3">
      <c r="A281">
        <v>40476578</v>
      </c>
      <c r="B281" t="s">
        <v>349</v>
      </c>
      <c r="C281" t="s">
        <v>38</v>
      </c>
      <c r="D281" s="1">
        <v>45483</v>
      </c>
      <c r="E281">
        <v>14889</v>
      </c>
      <c r="F281" t="s">
        <v>61</v>
      </c>
      <c r="G281" t="s">
        <v>55</v>
      </c>
      <c r="H281" t="s">
        <v>33</v>
      </c>
      <c r="I281" t="s">
        <v>19</v>
      </c>
      <c r="J281" t="s">
        <v>57</v>
      </c>
      <c r="K281">
        <v>0</v>
      </c>
      <c r="L281">
        <v>74</v>
      </c>
      <c r="M281" t="s">
        <v>21</v>
      </c>
      <c r="N281" t="s">
        <v>48</v>
      </c>
    </row>
    <row r="282" spans="1:14" x14ac:dyDescent="0.3">
      <c r="A282">
        <v>40246722</v>
      </c>
      <c r="B282" t="s">
        <v>350</v>
      </c>
      <c r="C282" t="s">
        <v>15</v>
      </c>
      <c r="D282" s="1">
        <v>45308</v>
      </c>
      <c r="E282">
        <v>7965</v>
      </c>
      <c r="F282" t="s">
        <v>50</v>
      </c>
      <c r="G282" t="s">
        <v>55</v>
      </c>
      <c r="H282" t="s">
        <v>26</v>
      </c>
      <c r="I282" t="s">
        <v>19</v>
      </c>
      <c r="J282" t="s">
        <v>57</v>
      </c>
      <c r="K282">
        <v>0</v>
      </c>
      <c r="L282">
        <v>10</v>
      </c>
      <c r="M282" t="s">
        <v>42</v>
      </c>
      <c r="N282" t="s">
        <v>87</v>
      </c>
    </row>
    <row r="283" spans="1:14" x14ac:dyDescent="0.3">
      <c r="A283">
        <v>86063662</v>
      </c>
      <c r="B283" t="s">
        <v>351</v>
      </c>
      <c r="C283" t="s">
        <v>54</v>
      </c>
      <c r="D283" s="1">
        <v>45588</v>
      </c>
      <c r="E283">
        <v>10556</v>
      </c>
      <c r="F283" t="s">
        <v>61</v>
      </c>
      <c r="G283" t="s">
        <v>32</v>
      </c>
      <c r="H283" t="s">
        <v>40</v>
      </c>
      <c r="I283" t="s">
        <v>27</v>
      </c>
      <c r="J283" t="s">
        <v>52</v>
      </c>
      <c r="K283">
        <v>0</v>
      </c>
      <c r="L283">
        <v>93</v>
      </c>
      <c r="M283" t="s">
        <v>47</v>
      </c>
      <c r="N283" t="s">
        <v>73</v>
      </c>
    </row>
    <row r="284" spans="1:14" x14ac:dyDescent="0.3">
      <c r="A284">
        <v>51663167</v>
      </c>
      <c r="B284" t="s">
        <v>352</v>
      </c>
      <c r="C284" t="s">
        <v>38</v>
      </c>
      <c r="D284" s="1">
        <v>45301</v>
      </c>
      <c r="E284">
        <v>4400</v>
      </c>
      <c r="F284" t="s">
        <v>61</v>
      </c>
      <c r="G284" t="s">
        <v>71</v>
      </c>
      <c r="H284" t="s">
        <v>62</v>
      </c>
      <c r="I284" t="s">
        <v>19</v>
      </c>
      <c r="J284" t="s">
        <v>28</v>
      </c>
      <c r="K284">
        <v>0</v>
      </c>
      <c r="L284">
        <v>22</v>
      </c>
      <c r="M284" t="s">
        <v>47</v>
      </c>
      <c r="N284" t="s">
        <v>63</v>
      </c>
    </row>
    <row r="285" spans="1:14" x14ac:dyDescent="0.3">
      <c r="A285">
        <v>10941967</v>
      </c>
      <c r="B285" t="s">
        <v>353</v>
      </c>
      <c r="C285" t="s">
        <v>77</v>
      </c>
      <c r="D285" s="1">
        <v>45634</v>
      </c>
      <c r="E285">
        <v>24030</v>
      </c>
      <c r="F285" t="s">
        <v>61</v>
      </c>
      <c r="G285" t="s">
        <v>71</v>
      </c>
      <c r="H285" t="s">
        <v>103</v>
      </c>
      <c r="I285" t="s">
        <v>19</v>
      </c>
      <c r="J285" t="s">
        <v>20</v>
      </c>
      <c r="K285">
        <v>0</v>
      </c>
      <c r="L285">
        <v>72</v>
      </c>
      <c r="M285" t="s">
        <v>29</v>
      </c>
      <c r="N285" t="s">
        <v>63</v>
      </c>
    </row>
    <row r="286" spans="1:14" x14ac:dyDescent="0.3">
      <c r="A286">
        <v>21703651</v>
      </c>
      <c r="B286" t="s">
        <v>354</v>
      </c>
      <c r="C286" t="s">
        <v>45</v>
      </c>
      <c r="D286" s="1">
        <v>45634</v>
      </c>
      <c r="E286">
        <v>8118</v>
      </c>
      <c r="F286" t="s">
        <v>61</v>
      </c>
      <c r="G286" t="s">
        <v>71</v>
      </c>
      <c r="H286" t="s">
        <v>26</v>
      </c>
      <c r="I286" t="s">
        <v>72</v>
      </c>
      <c r="J286" t="s">
        <v>41</v>
      </c>
      <c r="K286">
        <v>1</v>
      </c>
      <c r="L286">
        <v>62</v>
      </c>
      <c r="M286" t="s">
        <v>29</v>
      </c>
      <c r="N286" t="s">
        <v>46</v>
      </c>
    </row>
    <row r="287" spans="1:14" x14ac:dyDescent="0.3">
      <c r="A287">
        <v>57373126</v>
      </c>
      <c r="B287" t="s">
        <v>355</v>
      </c>
      <c r="C287" t="s">
        <v>15</v>
      </c>
      <c r="D287" s="1">
        <v>45625</v>
      </c>
      <c r="E287">
        <v>17438</v>
      </c>
      <c r="F287" t="s">
        <v>16</v>
      </c>
      <c r="G287" t="s">
        <v>55</v>
      </c>
      <c r="H287" t="s">
        <v>62</v>
      </c>
      <c r="I287" t="s">
        <v>34</v>
      </c>
      <c r="J287" t="s">
        <v>52</v>
      </c>
      <c r="K287">
        <v>1</v>
      </c>
      <c r="L287">
        <v>29</v>
      </c>
      <c r="M287" t="s">
        <v>42</v>
      </c>
      <c r="N287" t="s">
        <v>43</v>
      </c>
    </row>
    <row r="288" spans="1:14" x14ac:dyDescent="0.3">
      <c r="A288">
        <v>85049341</v>
      </c>
      <c r="B288" t="s">
        <v>356</v>
      </c>
      <c r="C288" t="s">
        <v>77</v>
      </c>
      <c r="D288" s="1">
        <v>45286</v>
      </c>
      <c r="E288">
        <v>3375</v>
      </c>
      <c r="F288" t="s">
        <v>16</v>
      </c>
      <c r="G288" t="s">
        <v>17</v>
      </c>
      <c r="H288" t="s">
        <v>62</v>
      </c>
      <c r="I288" t="s">
        <v>27</v>
      </c>
      <c r="J288" t="s">
        <v>41</v>
      </c>
      <c r="K288">
        <v>1</v>
      </c>
      <c r="L288">
        <v>14</v>
      </c>
      <c r="M288" t="s">
        <v>58</v>
      </c>
      <c r="N288" t="s">
        <v>22</v>
      </c>
    </row>
    <row r="289" spans="1:14" x14ac:dyDescent="0.3">
      <c r="A289">
        <v>83959989</v>
      </c>
      <c r="B289" t="s">
        <v>357</v>
      </c>
      <c r="C289" t="s">
        <v>45</v>
      </c>
      <c r="D289" s="1">
        <v>45333</v>
      </c>
      <c r="E289">
        <v>6942</v>
      </c>
      <c r="F289" t="s">
        <v>61</v>
      </c>
      <c r="G289" t="s">
        <v>25</v>
      </c>
      <c r="H289" t="s">
        <v>26</v>
      </c>
      <c r="I289" t="s">
        <v>27</v>
      </c>
      <c r="J289" t="s">
        <v>79</v>
      </c>
      <c r="K289">
        <v>0</v>
      </c>
      <c r="L289">
        <v>31</v>
      </c>
      <c r="M289" t="s">
        <v>21</v>
      </c>
      <c r="N289" t="s">
        <v>46</v>
      </c>
    </row>
    <row r="290" spans="1:14" x14ac:dyDescent="0.3">
      <c r="A290">
        <v>26137438</v>
      </c>
      <c r="B290" t="s">
        <v>358</v>
      </c>
      <c r="C290" t="s">
        <v>31</v>
      </c>
      <c r="D290" s="1">
        <v>45463</v>
      </c>
      <c r="E290">
        <v>5819</v>
      </c>
      <c r="F290" t="s">
        <v>16</v>
      </c>
      <c r="G290" t="s">
        <v>17</v>
      </c>
      <c r="H290" t="s">
        <v>46</v>
      </c>
      <c r="I290" t="s">
        <v>34</v>
      </c>
      <c r="J290" t="s">
        <v>41</v>
      </c>
      <c r="K290">
        <v>0</v>
      </c>
      <c r="L290">
        <v>76</v>
      </c>
      <c r="M290" t="s">
        <v>29</v>
      </c>
      <c r="N290" t="s">
        <v>46</v>
      </c>
    </row>
    <row r="291" spans="1:14" x14ac:dyDescent="0.3">
      <c r="A291">
        <v>92663281</v>
      </c>
      <c r="B291" t="s">
        <v>359</v>
      </c>
      <c r="C291" t="s">
        <v>101</v>
      </c>
      <c r="D291" s="1">
        <v>45497</v>
      </c>
      <c r="E291">
        <v>22864</v>
      </c>
      <c r="F291" t="s">
        <v>16</v>
      </c>
      <c r="G291" t="s">
        <v>32</v>
      </c>
      <c r="H291" t="s">
        <v>40</v>
      </c>
      <c r="I291" t="s">
        <v>72</v>
      </c>
      <c r="J291" t="s">
        <v>20</v>
      </c>
      <c r="K291">
        <v>1</v>
      </c>
      <c r="L291">
        <v>91</v>
      </c>
      <c r="M291" t="s">
        <v>42</v>
      </c>
      <c r="N291" t="s">
        <v>43</v>
      </c>
    </row>
    <row r="292" spans="1:14" x14ac:dyDescent="0.3">
      <c r="A292">
        <v>69633951</v>
      </c>
      <c r="B292" t="s">
        <v>360</v>
      </c>
      <c r="C292" t="s">
        <v>75</v>
      </c>
      <c r="D292" s="1">
        <v>45428</v>
      </c>
      <c r="E292">
        <v>14577</v>
      </c>
      <c r="F292" t="s">
        <v>39</v>
      </c>
      <c r="G292" t="s">
        <v>17</v>
      </c>
      <c r="H292" t="s">
        <v>56</v>
      </c>
      <c r="I292" t="s">
        <v>72</v>
      </c>
      <c r="J292" t="s">
        <v>28</v>
      </c>
      <c r="K292">
        <v>0</v>
      </c>
      <c r="L292">
        <v>14</v>
      </c>
      <c r="M292" t="s">
        <v>47</v>
      </c>
      <c r="N292" t="s">
        <v>46</v>
      </c>
    </row>
    <row r="293" spans="1:14" x14ac:dyDescent="0.3">
      <c r="A293">
        <v>41035476</v>
      </c>
      <c r="B293" t="s">
        <v>361</v>
      </c>
      <c r="C293" t="s">
        <v>54</v>
      </c>
      <c r="D293" s="1">
        <v>45592</v>
      </c>
      <c r="E293">
        <v>21092</v>
      </c>
      <c r="F293" t="s">
        <v>39</v>
      </c>
      <c r="G293" t="s">
        <v>32</v>
      </c>
      <c r="H293" t="s">
        <v>26</v>
      </c>
      <c r="I293" t="s">
        <v>34</v>
      </c>
      <c r="J293" t="s">
        <v>79</v>
      </c>
      <c r="K293">
        <v>1</v>
      </c>
      <c r="L293">
        <v>40</v>
      </c>
      <c r="M293" t="s">
        <v>21</v>
      </c>
      <c r="N293" t="s">
        <v>63</v>
      </c>
    </row>
    <row r="294" spans="1:14" x14ac:dyDescent="0.3">
      <c r="A294">
        <v>68711991</v>
      </c>
      <c r="B294" t="s">
        <v>362</v>
      </c>
      <c r="C294" t="s">
        <v>70</v>
      </c>
      <c r="D294" s="1">
        <v>45358</v>
      </c>
      <c r="E294">
        <v>17800</v>
      </c>
      <c r="F294" t="s">
        <v>61</v>
      </c>
      <c r="G294" t="s">
        <v>55</v>
      </c>
      <c r="H294" t="s">
        <v>62</v>
      </c>
      <c r="I294" t="s">
        <v>27</v>
      </c>
      <c r="J294" t="s">
        <v>41</v>
      </c>
      <c r="K294">
        <v>0</v>
      </c>
      <c r="L294">
        <v>70</v>
      </c>
      <c r="M294" t="s">
        <v>65</v>
      </c>
      <c r="N294" t="s">
        <v>63</v>
      </c>
    </row>
    <row r="295" spans="1:14" x14ac:dyDescent="0.3">
      <c r="A295">
        <v>16606687</v>
      </c>
      <c r="B295" t="s">
        <v>363</v>
      </c>
      <c r="C295" t="s">
        <v>70</v>
      </c>
      <c r="D295" s="1">
        <v>45628</v>
      </c>
      <c r="E295">
        <v>507</v>
      </c>
      <c r="F295" t="s">
        <v>39</v>
      </c>
      <c r="G295" t="s">
        <v>55</v>
      </c>
      <c r="H295" t="s">
        <v>33</v>
      </c>
      <c r="I295" t="s">
        <v>72</v>
      </c>
      <c r="J295" t="s">
        <v>52</v>
      </c>
      <c r="K295">
        <v>0</v>
      </c>
      <c r="L295">
        <v>46</v>
      </c>
      <c r="M295" t="s">
        <v>29</v>
      </c>
      <c r="N295" t="s">
        <v>46</v>
      </c>
    </row>
    <row r="296" spans="1:14" x14ac:dyDescent="0.3">
      <c r="A296">
        <v>85633127</v>
      </c>
      <c r="B296" t="s">
        <v>364</v>
      </c>
      <c r="C296" t="s">
        <v>31</v>
      </c>
      <c r="D296" s="1">
        <v>45464</v>
      </c>
      <c r="E296">
        <v>6300</v>
      </c>
      <c r="F296" t="s">
        <v>39</v>
      </c>
      <c r="G296" t="s">
        <v>25</v>
      </c>
      <c r="H296" t="s">
        <v>46</v>
      </c>
      <c r="I296" t="s">
        <v>34</v>
      </c>
      <c r="J296" t="s">
        <v>52</v>
      </c>
      <c r="K296">
        <v>1</v>
      </c>
      <c r="L296">
        <v>13</v>
      </c>
      <c r="M296" t="s">
        <v>47</v>
      </c>
      <c r="N296" t="s">
        <v>59</v>
      </c>
    </row>
    <row r="297" spans="1:14" x14ac:dyDescent="0.3">
      <c r="A297">
        <v>58136746</v>
      </c>
      <c r="B297" t="s">
        <v>365</v>
      </c>
      <c r="C297" t="s">
        <v>101</v>
      </c>
      <c r="D297" s="1">
        <v>45324</v>
      </c>
      <c r="E297">
        <v>13639</v>
      </c>
      <c r="F297" t="s">
        <v>16</v>
      </c>
      <c r="G297" t="s">
        <v>17</v>
      </c>
      <c r="H297" t="s">
        <v>33</v>
      </c>
      <c r="I297" t="s">
        <v>27</v>
      </c>
      <c r="J297" t="s">
        <v>79</v>
      </c>
      <c r="K297">
        <v>0</v>
      </c>
      <c r="L297">
        <v>11</v>
      </c>
      <c r="M297" t="s">
        <v>58</v>
      </c>
      <c r="N297" t="s">
        <v>59</v>
      </c>
    </row>
    <row r="298" spans="1:14" x14ac:dyDescent="0.3">
      <c r="A298">
        <v>40997247</v>
      </c>
      <c r="B298" t="s">
        <v>366</v>
      </c>
      <c r="C298" t="s">
        <v>15</v>
      </c>
      <c r="D298" s="1">
        <v>45356</v>
      </c>
      <c r="E298">
        <v>10350</v>
      </c>
      <c r="F298" t="s">
        <v>39</v>
      </c>
      <c r="G298" t="s">
        <v>71</v>
      </c>
      <c r="H298" t="s">
        <v>18</v>
      </c>
      <c r="I298" t="s">
        <v>72</v>
      </c>
      <c r="J298" t="s">
        <v>20</v>
      </c>
      <c r="K298">
        <v>0</v>
      </c>
      <c r="L298">
        <v>53</v>
      </c>
      <c r="M298" t="s">
        <v>47</v>
      </c>
      <c r="N298" t="s">
        <v>48</v>
      </c>
    </row>
    <row r="299" spans="1:14" x14ac:dyDescent="0.3">
      <c r="A299">
        <v>17996489</v>
      </c>
      <c r="B299" t="s">
        <v>367</v>
      </c>
      <c r="C299" t="s">
        <v>75</v>
      </c>
      <c r="D299" s="1">
        <v>45593</v>
      </c>
      <c r="E299">
        <v>7945</v>
      </c>
      <c r="F299" t="s">
        <v>50</v>
      </c>
      <c r="G299" t="s">
        <v>17</v>
      </c>
      <c r="H299" t="s">
        <v>33</v>
      </c>
      <c r="I299" t="s">
        <v>27</v>
      </c>
      <c r="J299" t="s">
        <v>85</v>
      </c>
      <c r="K299">
        <v>0</v>
      </c>
      <c r="L299">
        <v>95</v>
      </c>
      <c r="M299" t="s">
        <v>29</v>
      </c>
      <c r="N299" t="s">
        <v>87</v>
      </c>
    </row>
    <row r="300" spans="1:14" x14ac:dyDescent="0.3">
      <c r="A300">
        <v>82903255</v>
      </c>
      <c r="B300" t="s">
        <v>368</v>
      </c>
      <c r="C300" t="s">
        <v>75</v>
      </c>
      <c r="D300" s="1">
        <v>45457</v>
      </c>
      <c r="E300">
        <v>12484</v>
      </c>
      <c r="F300" t="s">
        <v>39</v>
      </c>
      <c r="G300" t="s">
        <v>25</v>
      </c>
      <c r="H300" t="s">
        <v>81</v>
      </c>
      <c r="I300" t="s">
        <v>19</v>
      </c>
      <c r="J300" t="s">
        <v>20</v>
      </c>
      <c r="K300">
        <v>0</v>
      </c>
      <c r="L300">
        <v>77</v>
      </c>
      <c r="M300" t="s">
        <v>21</v>
      </c>
      <c r="N300" t="s">
        <v>63</v>
      </c>
    </row>
    <row r="301" spans="1:14" x14ac:dyDescent="0.3">
      <c r="A301">
        <v>65231136</v>
      </c>
      <c r="B301" t="s">
        <v>369</v>
      </c>
      <c r="C301" t="s">
        <v>15</v>
      </c>
      <c r="D301" s="1">
        <v>45359</v>
      </c>
      <c r="E301">
        <v>16544</v>
      </c>
      <c r="F301" t="s">
        <v>39</v>
      </c>
      <c r="G301" t="s">
        <v>17</v>
      </c>
      <c r="H301" t="s">
        <v>40</v>
      </c>
      <c r="I301" t="s">
        <v>72</v>
      </c>
      <c r="J301" t="s">
        <v>28</v>
      </c>
      <c r="K301">
        <v>0</v>
      </c>
      <c r="L301">
        <v>87</v>
      </c>
      <c r="M301" t="s">
        <v>29</v>
      </c>
      <c r="N301" t="s">
        <v>87</v>
      </c>
    </row>
    <row r="302" spans="1:14" x14ac:dyDescent="0.3">
      <c r="A302">
        <v>91022854</v>
      </c>
      <c r="B302" t="s">
        <v>370</v>
      </c>
      <c r="C302" t="s">
        <v>31</v>
      </c>
      <c r="D302" s="1">
        <v>45409</v>
      </c>
      <c r="E302">
        <v>8226</v>
      </c>
      <c r="F302" t="s">
        <v>16</v>
      </c>
      <c r="G302" t="s">
        <v>32</v>
      </c>
      <c r="H302" t="s">
        <v>103</v>
      </c>
      <c r="I302" t="s">
        <v>19</v>
      </c>
      <c r="J302" t="s">
        <v>79</v>
      </c>
      <c r="K302">
        <v>1</v>
      </c>
      <c r="L302">
        <v>12</v>
      </c>
      <c r="M302" t="s">
        <v>42</v>
      </c>
      <c r="N302" t="s">
        <v>59</v>
      </c>
    </row>
    <row r="303" spans="1:14" x14ac:dyDescent="0.3">
      <c r="A303">
        <v>38927003</v>
      </c>
      <c r="B303" t="s">
        <v>371</v>
      </c>
      <c r="C303" t="s">
        <v>54</v>
      </c>
      <c r="D303" s="1">
        <v>45429</v>
      </c>
      <c r="E303">
        <v>18809</v>
      </c>
      <c r="F303" t="s">
        <v>16</v>
      </c>
      <c r="G303" t="s">
        <v>32</v>
      </c>
      <c r="H303" t="s">
        <v>62</v>
      </c>
      <c r="I303" t="s">
        <v>72</v>
      </c>
      <c r="J303" t="s">
        <v>52</v>
      </c>
      <c r="K303">
        <v>1</v>
      </c>
      <c r="L303">
        <v>11</v>
      </c>
      <c r="M303" t="s">
        <v>21</v>
      </c>
      <c r="N303" t="s">
        <v>63</v>
      </c>
    </row>
    <row r="304" spans="1:14" x14ac:dyDescent="0.3">
      <c r="A304">
        <v>79105985</v>
      </c>
      <c r="B304" t="s">
        <v>372</v>
      </c>
      <c r="C304" t="s">
        <v>75</v>
      </c>
      <c r="D304" s="1">
        <v>45455</v>
      </c>
      <c r="E304">
        <v>4498</v>
      </c>
      <c r="F304" t="s">
        <v>39</v>
      </c>
      <c r="G304" t="s">
        <v>17</v>
      </c>
      <c r="H304" t="s">
        <v>103</v>
      </c>
      <c r="I304" t="s">
        <v>27</v>
      </c>
      <c r="J304" t="s">
        <v>35</v>
      </c>
      <c r="K304">
        <v>1</v>
      </c>
      <c r="L304">
        <v>94</v>
      </c>
      <c r="M304" t="s">
        <v>58</v>
      </c>
      <c r="N304" t="s">
        <v>36</v>
      </c>
    </row>
    <row r="305" spans="1:14" x14ac:dyDescent="0.3">
      <c r="A305">
        <v>73941325</v>
      </c>
      <c r="B305" t="s">
        <v>373</v>
      </c>
      <c r="C305" t="s">
        <v>101</v>
      </c>
      <c r="D305" s="1">
        <v>45331</v>
      </c>
      <c r="E305">
        <v>11530</v>
      </c>
      <c r="F305" t="s">
        <v>16</v>
      </c>
      <c r="G305" t="s">
        <v>71</v>
      </c>
      <c r="H305" t="s">
        <v>18</v>
      </c>
      <c r="I305" t="s">
        <v>19</v>
      </c>
      <c r="J305" t="s">
        <v>79</v>
      </c>
      <c r="K305">
        <v>0</v>
      </c>
      <c r="L305">
        <v>72</v>
      </c>
      <c r="M305" t="s">
        <v>65</v>
      </c>
      <c r="N305" t="s">
        <v>89</v>
      </c>
    </row>
    <row r="306" spans="1:14" x14ac:dyDescent="0.3">
      <c r="A306">
        <v>66081288</v>
      </c>
      <c r="B306" t="s">
        <v>374</v>
      </c>
      <c r="C306" t="s">
        <v>15</v>
      </c>
      <c r="D306" s="1">
        <v>45366</v>
      </c>
      <c r="E306">
        <v>22394</v>
      </c>
      <c r="F306" t="s">
        <v>39</v>
      </c>
      <c r="G306" t="s">
        <v>71</v>
      </c>
      <c r="H306" t="s">
        <v>26</v>
      </c>
      <c r="I306" t="s">
        <v>27</v>
      </c>
      <c r="J306" t="s">
        <v>52</v>
      </c>
      <c r="K306">
        <v>0</v>
      </c>
      <c r="L306">
        <v>25</v>
      </c>
      <c r="M306" t="s">
        <v>42</v>
      </c>
      <c r="N306" t="s">
        <v>59</v>
      </c>
    </row>
    <row r="307" spans="1:14" x14ac:dyDescent="0.3">
      <c r="A307">
        <v>64376157</v>
      </c>
      <c r="B307" t="s">
        <v>375</v>
      </c>
      <c r="C307" t="s">
        <v>45</v>
      </c>
      <c r="D307" s="1">
        <v>45340</v>
      </c>
      <c r="E307">
        <v>6693</v>
      </c>
      <c r="F307" t="s">
        <v>16</v>
      </c>
      <c r="G307" t="s">
        <v>32</v>
      </c>
      <c r="H307" t="s">
        <v>33</v>
      </c>
      <c r="I307" t="s">
        <v>27</v>
      </c>
      <c r="J307" t="s">
        <v>79</v>
      </c>
      <c r="K307">
        <v>0</v>
      </c>
      <c r="L307">
        <v>60</v>
      </c>
      <c r="M307" t="s">
        <v>47</v>
      </c>
      <c r="N307" t="s">
        <v>22</v>
      </c>
    </row>
    <row r="308" spans="1:14" x14ac:dyDescent="0.3">
      <c r="A308">
        <v>97464125</v>
      </c>
      <c r="B308" t="s">
        <v>376</v>
      </c>
      <c r="C308" t="s">
        <v>15</v>
      </c>
      <c r="D308" s="1">
        <v>45418</v>
      </c>
      <c r="E308">
        <v>11922</v>
      </c>
      <c r="F308" t="s">
        <v>39</v>
      </c>
      <c r="G308" t="s">
        <v>25</v>
      </c>
      <c r="H308" t="s">
        <v>46</v>
      </c>
      <c r="I308" t="s">
        <v>19</v>
      </c>
      <c r="J308" t="s">
        <v>79</v>
      </c>
      <c r="K308">
        <v>0</v>
      </c>
      <c r="L308">
        <v>39</v>
      </c>
      <c r="M308" t="s">
        <v>47</v>
      </c>
      <c r="N308" t="s">
        <v>73</v>
      </c>
    </row>
    <row r="309" spans="1:14" x14ac:dyDescent="0.3">
      <c r="A309">
        <v>11999667</v>
      </c>
      <c r="B309" t="s">
        <v>377</v>
      </c>
      <c r="C309" t="s">
        <v>77</v>
      </c>
      <c r="D309" s="1">
        <v>45606</v>
      </c>
      <c r="E309">
        <v>20228</v>
      </c>
      <c r="F309" t="s">
        <v>39</v>
      </c>
      <c r="G309" t="s">
        <v>55</v>
      </c>
      <c r="H309" t="s">
        <v>103</v>
      </c>
      <c r="I309" t="s">
        <v>72</v>
      </c>
      <c r="J309" t="s">
        <v>20</v>
      </c>
      <c r="K309">
        <v>0</v>
      </c>
      <c r="L309">
        <v>49</v>
      </c>
      <c r="M309" t="s">
        <v>65</v>
      </c>
      <c r="N309" t="s">
        <v>73</v>
      </c>
    </row>
    <row r="310" spans="1:14" x14ac:dyDescent="0.3">
      <c r="A310">
        <v>95803807</v>
      </c>
      <c r="B310" t="s">
        <v>378</v>
      </c>
      <c r="C310" t="s">
        <v>75</v>
      </c>
      <c r="D310" s="1">
        <v>45421</v>
      </c>
      <c r="E310">
        <v>875</v>
      </c>
      <c r="F310" t="s">
        <v>61</v>
      </c>
      <c r="G310" t="s">
        <v>17</v>
      </c>
      <c r="H310" t="s">
        <v>33</v>
      </c>
      <c r="I310" t="s">
        <v>34</v>
      </c>
      <c r="J310" t="s">
        <v>68</v>
      </c>
      <c r="K310">
        <v>0</v>
      </c>
      <c r="L310">
        <v>88</v>
      </c>
      <c r="M310" t="s">
        <v>47</v>
      </c>
      <c r="N310" t="s">
        <v>22</v>
      </c>
    </row>
    <row r="311" spans="1:14" x14ac:dyDescent="0.3">
      <c r="A311">
        <v>39487873</v>
      </c>
      <c r="B311" t="s">
        <v>379</v>
      </c>
      <c r="C311" t="s">
        <v>24</v>
      </c>
      <c r="D311" s="1">
        <v>45394</v>
      </c>
      <c r="E311">
        <v>8133</v>
      </c>
      <c r="F311" t="s">
        <v>61</v>
      </c>
      <c r="G311" t="s">
        <v>55</v>
      </c>
      <c r="H311" t="s">
        <v>46</v>
      </c>
      <c r="I311" t="s">
        <v>34</v>
      </c>
      <c r="J311" t="s">
        <v>85</v>
      </c>
      <c r="K311">
        <v>1</v>
      </c>
      <c r="L311">
        <v>61</v>
      </c>
      <c r="M311" t="s">
        <v>42</v>
      </c>
      <c r="N311" t="s">
        <v>59</v>
      </c>
    </row>
    <row r="312" spans="1:14" x14ac:dyDescent="0.3">
      <c r="A312">
        <v>93075828</v>
      </c>
      <c r="B312" t="s">
        <v>380</v>
      </c>
      <c r="C312" t="s">
        <v>70</v>
      </c>
      <c r="D312" s="1">
        <v>45564</v>
      </c>
      <c r="E312">
        <v>11747</v>
      </c>
      <c r="F312" t="s">
        <v>39</v>
      </c>
      <c r="G312" t="s">
        <v>55</v>
      </c>
      <c r="H312" t="s">
        <v>18</v>
      </c>
      <c r="I312" t="s">
        <v>27</v>
      </c>
      <c r="J312" t="s">
        <v>57</v>
      </c>
      <c r="K312">
        <v>0</v>
      </c>
      <c r="L312">
        <v>60</v>
      </c>
      <c r="M312" t="s">
        <v>29</v>
      </c>
      <c r="N312" t="s">
        <v>87</v>
      </c>
    </row>
    <row r="313" spans="1:14" x14ac:dyDescent="0.3">
      <c r="A313">
        <v>78044303</v>
      </c>
      <c r="B313" t="s">
        <v>381</v>
      </c>
      <c r="C313" t="s">
        <v>54</v>
      </c>
      <c r="D313" s="1">
        <v>45555</v>
      </c>
      <c r="E313">
        <v>13292</v>
      </c>
      <c r="F313" t="s">
        <v>61</v>
      </c>
      <c r="G313" t="s">
        <v>32</v>
      </c>
      <c r="H313" t="s">
        <v>46</v>
      </c>
      <c r="I313" t="s">
        <v>34</v>
      </c>
      <c r="J313" t="s">
        <v>41</v>
      </c>
      <c r="K313">
        <v>0</v>
      </c>
      <c r="L313">
        <v>76</v>
      </c>
      <c r="M313" t="s">
        <v>65</v>
      </c>
      <c r="N313" t="s">
        <v>73</v>
      </c>
    </row>
    <row r="314" spans="1:14" x14ac:dyDescent="0.3">
      <c r="A314">
        <v>98552438</v>
      </c>
      <c r="B314" t="s">
        <v>382</v>
      </c>
      <c r="C314" t="s">
        <v>31</v>
      </c>
      <c r="D314" s="1">
        <v>45291</v>
      </c>
      <c r="E314">
        <v>6256</v>
      </c>
      <c r="F314" t="s">
        <v>16</v>
      </c>
      <c r="G314" t="s">
        <v>25</v>
      </c>
      <c r="H314" t="s">
        <v>40</v>
      </c>
      <c r="I314" t="s">
        <v>19</v>
      </c>
      <c r="J314" t="s">
        <v>57</v>
      </c>
      <c r="K314">
        <v>0</v>
      </c>
      <c r="L314">
        <v>13</v>
      </c>
      <c r="M314" t="s">
        <v>47</v>
      </c>
      <c r="N314" t="s">
        <v>87</v>
      </c>
    </row>
    <row r="315" spans="1:14" x14ac:dyDescent="0.3">
      <c r="A315">
        <v>49527071</v>
      </c>
      <c r="B315" t="s">
        <v>383</v>
      </c>
      <c r="C315" t="s">
        <v>101</v>
      </c>
      <c r="D315" s="1">
        <v>45340</v>
      </c>
      <c r="E315">
        <v>6715</v>
      </c>
      <c r="F315" t="s">
        <v>50</v>
      </c>
      <c r="G315" t="s">
        <v>55</v>
      </c>
      <c r="H315" t="s">
        <v>40</v>
      </c>
      <c r="I315" t="s">
        <v>19</v>
      </c>
      <c r="J315" t="s">
        <v>28</v>
      </c>
      <c r="K315">
        <v>0</v>
      </c>
      <c r="L315">
        <v>41</v>
      </c>
      <c r="M315" t="s">
        <v>21</v>
      </c>
      <c r="N315" t="s">
        <v>43</v>
      </c>
    </row>
    <row r="316" spans="1:14" x14ac:dyDescent="0.3">
      <c r="A316">
        <v>61336800</v>
      </c>
      <c r="B316" t="s">
        <v>384</v>
      </c>
      <c r="C316" t="s">
        <v>77</v>
      </c>
      <c r="D316" s="1">
        <v>45417</v>
      </c>
      <c r="E316">
        <v>17543</v>
      </c>
      <c r="F316" t="s">
        <v>61</v>
      </c>
      <c r="G316" t="s">
        <v>55</v>
      </c>
      <c r="H316" t="s">
        <v>81</v>
      </c>
      <c r="I316" t="s">
        <v>27</v>
      </c>
      <c r="J316" t="s">
        <v>41</v>
      </c>
      <c r="K316">
        <v>0</v>
      </c>
      <c r="L316">
        <v>23</v>
      </c>
      <c r="M316" t="s">
        <v>47</v>
      </c>
      <c r="N316" t="s">
        <v>36</v>
      </c>
    </row>
    <row r="317" spans="1:14" x14ac:dyDescent="0.3">
      <c r="A317">
        <v>22948163</v>
      </c>
      <c r="B317" t="s">
        <v>385</v>
      </c>
      <c r="C317" t="s">
        <v>38</v>
      </c>
      <c r="D317" s="1">
        <v>45368</v>
      </c>
      <c r="E317">
        <v>6161</v>
      </c>
      <c r="F317" t="s">
        <v>39</v>
      </c>
      <c r="G317" t="s">
        <v>55</v>
      </c>
      <c r="H317" t="s">
        <v>46</v>
      </c>
      <c r="I317" t="s">
        <v>72</v>
      </c>
      <c r="J317" t="s">
        <v>52</v>
      </c>
      <c r="K317">
        <v>0</v>
      </c>
      <c r="L317">
        <v>29</v>
      </c>
      <c r="M317" t="s">
        <v>58</v>
      </c>
      <c r="N317" t="s">
        <v>59</v>
      </c>
    </row>
    <row r="318" spans="1:14" x14ac:dyDescent="0.3">
      <c r="A318">
        <v>80049301</v>
      </c>
      <c r="B318" t="s">
        <v>386</v>
      </c>
      <c r="C318" t="s">
        <v>24</v>
      </c>
      <c r="D318" s="1">
        <v>45576</v>
      </c>
      <c r="E318">
        <v>16279</v>
      </c>
      <c r="F318" t="s">
        <v>16</v>
      </c>
      <c r="G318" t="s">
        <v>32</v>
      </c>
      <c r="H318" t="s">
        <v>18</v>
      </c>
      <c r="I318" t="s">
        <v>27</v>
      </c>
      <c r="J318" t="s">
        <v>85</v>
      </c>
      <c r="K318">
        <v>0</v>
      </c>
      <c r="L318">
        <v>27</v>
      </c>
      <c r="M318" t="s">
        <v>42</v>
      </c>
      <c r="N318" t="s">
        <v>48</v>
      </c>
    </row>
    <row r="319" spans="1:14" x14ac:dyDescent="0.3">
      <c r="A319">
        <v>93311283</v>
      </c>
      <c r="B319" t="s">
        <v>387</v>
      </c>
      <c r="C319" t="s">
        <v>75</v>
      </c>
      <c r="D319" s="1">
        <v>45539</v>
      </c>
      <c r="E319">
        <v>18353</v>
      </c>
      <c r="F319" t="s">
        <v>16</v>
      </c>
      <c r="G319" t="s">
        <v>25</v>
      </c>
      <c r="H319" t="s">
        <v>40</v>
      </c>
      <c r="I319" t="s">
        <v>27</v>
      </c>
      <c r="J319" t="s">
        <v>79</v>
      </c>
      <c r="K319">
        <v>0</v>
      </c>
      <c r="L319">
        <v>20</v>
      </c>
      <c r="M319" t="s">
        <v>29</v>
      </c>
      <c r="N319" t="s">
        <v>36</v>
      </c>
    </row>
    <row r="320" spans="1:14" x14ac:dyDescent="0.3">
      <c r="A320">
        <v>51864778</v>
      </c>
      <c r="B320" t="s">
        <v>388</v>
      </c>
      <c r="C320" t="s">
        <v>77</v>
      </c>
      <c r="D320" s="1">
        <v>45634</v>
      </c>
      <c r="E320">
        <v>22102</v>
      </c>
      <c r="F320" t="s">
        <v>50</v>
      </c>
      <c r="G320" t="s">
        <v>71</v>
      </c>
      <c r="H320" t="s">
        <v>46</v>
      </c>
      <c r="I320" t="s">
        <v>27</v>
      </c>
      <c r="J320" t="s">
        <v>28</v>
      </c>
      <c r="K320">
        <v>0</v>
      </c>
      <c r="L320">
        <v>51</v>
      </c>
      <c r="M320" t="s">
        <v>29</v>
      </c>
      <c r="N320" t="s">
        <v>59</v>
      </c>
    </row>
    <row r="321" spans="1:14" x14ac:dyDescent="0.3">
      <c r="A321">
        <v>43455099</v>
      </c>
      <c r="B321" t="s">
        <v>389</v>
      </c>
      <c r="C321" t="s">
        <v>45</v>
      </c>
      <c r="D321" s="1">
        <v>45389</v>
      </c>
      <c r="E321">
        <v>18097</v>
      </c>
      <c r="F321" t="s">
        <v>39</v>
      </c>
      <c r="G321" t="s">
        <v>17</v>
      </c>
      <c r="H321" t="s">
        <v>62</v>
      </c>
      <c r="I321" t="s">
        <v>34</v>
      </c>
      <c r="J321" t="s">
        <v>68</v>
      </c>
      <c r="K321">
        <v>0</v>
      </c>
      <c r="L321">
        <v>48</v>
      </c>
      <c r="M321" t="s">
        <v>47</v>
      </c>
      <c r="N321" t="s">
        <v>63</v>
      </c>
    </row>
    <row r="322" spans="1:14" x14ac:dyDescent="0.3">
      <c r="A322">
        <v>26759480</v>
      </c>
      <c r="B322" t="s">
        <v>390</v>
      </c>
      <c r="C322" t="s">
        <v>38</v>
      </c>
      <c r="D322" s="1">
        <v>45330</v>
      </c>
      <c r="E322">
        <v>14225</v>
      </c>
      <c r="F322" t="s">
        <v>16</v>
      </c>
      <c r="G322" t="s">
        <v>71</v>
      </c>
      <c r="H322" t="s">
        <v>26</v>
      </c>
      <c r="I322" t="s">
        <v>27</v>
      </c>
      <c r="J322" t="s">
        <v>68</v>
      </c>
      <c r="K322">
        <v>0</v>
      </c>
      <c r="L322">
        <v>84</v>
      </c>
      <c r="M322" t="s">
        <v>65</v>
      </c>
      <c r="N322" t="s">
        <v>46</v>
      </c>
    </row>
    <row r="323" spans="1:14" x14ac:dyDescent="0.3">
      <c r="A323">
        <v>25081879</v>
      </c>
      <c r="B323" t="s">
        <v>391</v>
      </c>
      <c r="C323" t="s">
        <v>77</v>
      </c>
      <c r="D323" s="1">
        <v>45335</v>
      </c>
      <c r="E323">
        <v>1214</v>
      </c>
      <c r="F323" t="s">
        <v>61</v>
      </c>
      <c r="G323" t="s">
        <v>25</v>
      </c>
      <c r="H323" t="s">
        <v>33</v>
      </c>
      <c r="I323" t="s">
        <v>27</v>
      </c>
      <c r="J323" t="s">
        <v>20</v>
      </c>
      <c r="K323">
        <v>1</v>
      </c>
      <c r="L323">
        <v>94</v>
      </c>
      <c r="M323" t="s">
        <v>21</v>
      </c>
      <c r="N323" t="s">
        <v>59</v>
      </c>
    </row>
    <row r="324" spans="1:14" x14ac:dyDescent="0.3">
      <c r="A324">
        <v>29294462</v>
      </c>
      <c r="B324" t="s">
        <v>392</v>
      </c>
      <c r="C324" t="s">
        <v>15</v>
      </c>
      <c r="D324" s="1">
        <v>45562</v>
      </c>
      <c r="E324">
        <v>8546</v>
      </c>
      <c r="F324" t="s">
        <v>61</v>
      </c>
      <c r="G324" t="s">
        <v>25</v>
      </c>
      <c r="H324" t="s">
        <v>56</v>
      </c>
      <c r="I324" t="s">
        <v>19</v>
      </c>
      <c r="J324" t="s">
        <v>35</v>
      </c>
      <c r="K324">
        <v>1</v>
      </c>
      <c r="L324">
        <v>43</v>
      </c>
      <c r="M324" t="s">
        <v>21</v>
      </c>
      <c r="N324" t="s">
        <v>87</v>
      </c>
    </row>
    <row r="325" spans="1:14" x14ac:dyDescent="0.3">
      <c r="A325">
        <v>37503780</v>
      </c>
      <c r="B325" t="s">
        <v>393</v>
      </c>
      <c r="C325" t="s">
        <v>31</v>
      </c>
      <c r="D325" s="1">
        <v>45369</v>
      </c>
      <c r="E325">
        <v>22433</v>
      </c>
      <c r="F325" t="s">
        <v>50</v>
      </c>
      <c r="G325" t="s">
        <v>55</v>
      </c>
      <c r="H325" t="s">
        <v>26</v>
      </c>
      <c r="I325" t="s">
        <v>27</v>
      </c>
      <c r="J325" t="s">
        <v>28</v>
      </c>
      <c r="K325">
        <v>0</v>
      </c>
      <c r="L325">
        <v>55</v>
      </c>
      <c r="M325" t="s">
        <v>29</v>
      </c>
      <c r="N325" t="s">
        <v>63</v>
      </c>
    </row>
    <row r="326" spans="1:14" x14ac:dyDescent="0.3">
      <c r="A326">
        <v>52779240</v>
      </c>
      <c r="B326" t="s">
        <v>394</v>
      </c>
      <c r="C326" t="s">
        <v>70</v>
      </c>
      <c r="D326" s="1">
        <v>45605</v>
      </c>
      <c r="E326">
        <v>21955</v>
      </c>
      <c r="F326" t="s">
        <v>16</v>
      </c>
      <c r="G326" t="s">
        <v>55</v>
      </c>
      <c r="H326" t="s">
        <v>51</v>
      </c>
      <c r="I326" t="s">
        <v>34</v>
      </c>
      <c r="J326" t="s">
        <v>68</v>
      </c>
      <c r="K326">
        <v>0</v>
      </c>
      <c r="L326">
        <v>89</v>
      </c>
      <c r="M326" t="s">
        <v>42</v>
      </c>
      <c r="N326" t="s">
        <v>63</v>
      </c>
    </row>
    <row r="327" spans="1:14" x14ac:dyDescent="0.3">
      <c r="A327">
        <v>96305526</v>
      </c>
      <c r="B327" t="s">
        <v>395</v>
      </c>
      <c r="C327" t="s">
        <v>70</v>
      </c>
      <c r="D327" s="1">
        <v>45641</v>
      </c>
      <c r="E327">
        <v>3693</v>
      </c>
      <c r="F327" t="s">
        <v>16</v>
      </c>
      <c r="G327" t="s">
        <v>25</v>
      </c>
      <c r="H327" t="s">
        <v>33</v>
      </c>
      <c r="I327" t="s">
        <v>34</v>
      </c>
      <c r="J327" t="s">
        <v>85</v>
      </c>
      <c r="K327">
        <v>1</v>
      </c>
      <c r="L327">
        <v>31</v>
      </c>
      <c r="M327" t="s">
        <v>47</v>
      </c>
      <c r="N327" t="s">
        <v>87</v>
      </c>
    </row>
    <row r="328" spans="1:14" x14ac:dyDescent="0.3">
      <c r="A328">
        <v>96303693</v>
      </c>
      <c r="B328" t="s">
        <v>396</v>
      </c>
      <c r="C328" t="s">
        <v>24</v>
      </c>
      <c r="D328" s="1">
        <v>45443</v>
      </c>
      <c r="E328">
        <v>13131</v>
      </c>
      <c r="F328" t="s">
        <v>50</v>
      </c>
      <c r="G328" t="s">
        <v>25</v>
      </c>
      <c r="H328" t="s">
        <v>103</v>
      </c>
      <c r="I328" t="s">
        <v>72</v>
      </c>
      <c r="J328" t="s">
        <v>28</v>
      </c>
      <c r="K328">
        <v>1</v>
      </c>
      <c r="L328">
        <v>40</v>
      </c>
      <c r="M328" t="s">
        <v>65</v>
      </c>
      <c r="N328" t="s">
        <v>59</v>
      </c>
    </row>
    <row r="329" spans="1:14" x14ac:dyDescent="0.3">
      <c r="A329">
        <v>85408160</v>
      </c>
      <c r="B329" t="s">
        <v>397</v>
      </c>
      <c r="C329" t="s">
        <v>24</v>
      </c>
      <c r="D329" s="1">
        <v>45313</v>
      </c>
      <c r="E329">
        <v>4731</v>
      </c>
      <c r="F329" t="s">
        <v>16</v>
      </c>
      <c r="G329" t="s">
        <v>55</v>
      </c>
      <c r="H329" t="s">
        <v>62</v>
      </c>
      <c r="I329" t="s">
        <v>72</v>
      </c>
      <c r="J329" t="s">
        <v>57</v>
      </c>
      <c r="K329">
        <v>0</v>
      </c>
      <c r="L329">
        <v>92</v>
      </c>
      <c r="M329" t="s">
        <v>42</v>
      </c>
      <c r="N329" t="s">
        <v>63</v>
      </c>
    </row>
    <row r="330" spans="1:14" x14ac:dyDescent="0.3">
      <c r="A330">
        <v>66190872</v>
      </c>
      <c r="B330" t="s">
        <v>398</v>
      </c>
      <c r="C330" t="s">
        <v>24</v>
      </c>
      <c r="D330" s="1">
        <v>45483</v>
      </c>
      <c r="E330">
        <v>16724</v>
      </c>
      <c r="F330" t="s">
        <v>50</v>
      </c>
      <c r="G330" t="s">
        <v>71</v>
      </c>
      <c r="H330" t="s">
        <v>46</v>
      </c>
      <c r="I330" t="s">
        <v>72</v>
      </c>
      <c r="J330" t="s">
        <v>57</v>
      </c>
      <c r="K330">
        <v>0</v>
      </c>
      <c r="L330">
        <v>12</v>
      </c>
      <c r="M330" t="s">
        <v>65</v>
      </c>
      <c r="N330" t="s">
        <v>46</v>
      </c>
    </row>
    <row r="331" spans="1:14" x14ac:dyDescent="0.3">
      <c r="A331">
        <v>70531547</v>
      </c>
      <c r="B331" t="s">
        <v>399</v>
      </c>
      <c r="C331" t="s">
        <v>101</v>
      </c>
      <c r="D331" s="1">
        <v>45386</v>
      </c>
      <c r="E331">
        <v>9063</v>
      </c>
      <c r="F331" t="s">
        <v>61</v>
      </c>
      <c r="G331" t="s">
        <v>25</v>
      </c>
      <c r="H331" t="s">
        <v>51</v>
      </c>
      <c r="I331" t="s">
        <v>19</v>
      </c>
      <c r="J331" t="s">
        <v>79</v>
      </c>
      <c r="K331">
        <v>1</v>
      </c>
      <c r="L331">
        <v>73</v>
      </c>
      <c r="M331" t="s">
        <v>42</v>
      </c>
      <c r="N331" t="s">
        <v>89</v>
      </c>
    </row>
    <row r="332" spans="1:14" x14ac:dyDescent="0.3">
      <c r="A332">
        <v>73852350</v>
      </c>
      <c r="B332" t="s">
        <v>400</v>
      </c>
      <c r="C332" t="s">
        <v>70</v>
      </c>
      <c r="D332" s="1">
        <v>45591</v>
      </c>
      <c r="E332">
        <v>2564</v>
      </c>
      <c r="F332" t="s">
        <v>61</v>
      </c>
      <c r="G332" t="s">
        <v>32</v>
      </c>
      <c r="H332" t="s">
        <v>81</v>
      </c>
      <c r="I332" t="s">
        <v>27</v>
      </c>
      <c r="J332" t="s">
        <v>57</v>
      </c>
      <c r="K332">
        <v>1</v>
      </c>
      <c r="L332">
        <v>61</v>
      </c>
      <c r="M332" t="s">
        <v>47</v>
      </c>
      <c r="N332" t="s">
        <v>48</v>
      </c>
    </row>
    <row r="333" spans="1:14" x14ac:dyDescent="0.3">
      <c r="A333">
        <v>49379435</v>
      </c>
      <c r="B333" t="s">
        <v>401</v>
      </c>
      <c r="C333" t="s">
        <v>101</v>
      </c>
      <c r="D333" s="1">
        <v>45562</v>
      </c>
      <c r="E333">
        <v>13275</v>
      </c>
      <c r="F333" t="s">
        <v>16</v>
      </c>
      <c r="G333" t="s">
        <v>25</v>
      </c>
      <c r="H333" t="s">
        <v>51</v>
      </c>
      <c r="I333" t="s">
        <v>27</v>
      </c>
      <c r="J333" t="s">
        <v>57</v>
      </c>
      <c r="K333">
        <v>0</v>
      </c>
      <c r="L333">
        <v>15</v>
      </c>
      <c r="M333" t="s">
        <v>58</v>
      </c>
      <c r="N333" t="s">
        <v>59</v>
      </c>
    </row>
    <row r="334" spans="1:14" x14ac:dyDescent="0.3">
      <c r="A334">
        <v>37805255</v>
      </c>
      <c r="B334" t="s">
        <v>402</v>
      </c>
      <c r="C334" t="s">
        <v>45</v>
      </c>
      <c r="D334" s="1">
        <v>45322</v>
      </c>
      <c r="E334">
        <v>7041</v>
      </c>
      <c r="F334" t="s">
        <v>16</v>
      </c>
      <c r="G334" t="s">
        <v>71</v>
      </c>
      <c r="H334" t="s">
        <v>46</v>
      </c>
      <c r="I334" t="s">
        <v>27</v>
      </c>
      <c r="J334" t="s">
        <v>68</v>
      </c>
      <c r="K334">
        <v>0</v>
      </c>
      <c r="L334">
        <v>44</v>
      </c>
      <c r="M334" t="s">
        <v>42</v>
      </c>
      <c r="N334" t="s">
        <v>59</v>
      </c>
    </row>
    <row r="335" spans="1:14" x14ac:dyDescent="0.3">
      <c r="A335">
        <v>71338553</v>
      </c>
      <c r="B335" t="s">
        <v>403</v>
      </c>
      <c r="C335" t="s">
        <v>24</v>
      </c>
      <c r="D335" s="1">
        <v>45522</v>
      </c>
      <c r="E335">
        <v>1274</v>
      </c>
      <c r="F335" t="s">
        <v>16</v>
      </c>
      <c r="G335" t="s">
        <v>32</v>
      </c>
      <c r="H335" t="s">
        <v>26</v>
      </c>
      <c r="I335" t="s">
        <v>34</v>
      </c>
      <c r="J335" t="s">
        <v>52</v>
      </c>
      <c r="K335">
        <v>1</v>
      </c>
      <c r="L335">
        <v>53</v>
      </c>
      <c r="M335" t="s">
        <v>65</v>
      </c>
      <c r="N335" t="s">
        <v>87</v>
      </c>
    </row>
    <row r="336" spans="1:14" x14ac:dyDescent="0.3">
      <c r="A336">
        <v>41797189</v>
      </c>
      <c r="B336" t="s">
        <v>404</v>
      </c>
      <c r="C336" t="s">
        <v>31</v>
      </c>
      <c r="D336" s="1">
        <v>45376</v>
      </c>
      <c r="E336">
        <v>9248</v>
      </c>
      <c r="F336" t="s">
        <v>39</v>
      </c>
      <c r="G336" t="s">
        <v>55</v>
      </c>
      <c r="H336" t="s">
        <v>51</v>
      </c>
      <c r="I336" t="s">
        <v>34</v>
      </c>
      <c r="J336" t="s">
        <v>85</v>
      </c>
      <c r="K336">
        <v>0</v>
      </c>
      <c r="L336">
        <v>95</v>
      </c>
      <c r="M336" t="s">
        <v>42</v>
      </c>
      <c r="N336" t="s">
        <v>43</v>
      </c>
    </row>
    <row r="337" spans="1:14" x14ac:dyDescent="0.3">
      <c r="A337">
        <v>46109432</v>
      </c>
      <c r="B337" t="s">
        <v>405</v>
      </c>
      <c r="C337" t="s">
        <v>15</v>
      </c>
      <c r="D337" s="1">
        <v>45322</v>
      </c>
      <c r="E337">
        <v>14248</v>
      </c>
      <c r="F337" t="s">
        <v>16</v>
      </c>
      <c r="G337" t="s">
        <v>32</v>
      </c>
      <c r="H337" t="s">
        <v>56</v>
      </c>
      <c r="I337" t="s">
        <v>19</v>
      </c>
      <c r="J337" t="s">
        <v>41</v>
      </c>
      <c r="K337">
        <v>0</v>
      </c>
      <c r="L337">
        <v>23</v>
      </c>
      <c r="M337" t="s">
        <v>47</v>
      </c>
      <c r="N337" t="s">
        <v>36</v>
      </c>
    </row>
    <row r="338" spans="1:14" x14ac:dyDescent="0.3">
      <c r="A338">
        <v>60931822</v>
      </c>
      <c r="B338" t="s">
        <v>406</v>
      </c>
      <c r="C338" t="s">
        <v>75</v>
      </c>
      <c r="D338" s="1">
        <v>45440</v>
      </c>
      <c r="E338">
        <v>22850</v>
      </c>
      <c r="F338" t="s">
        <v>39</v>
      </c>
      <c r="G338" t="s">
        <v>32</v>
      </c>
      <c r="H338" t="s">
        <v>62</v>
      </c>
      <c r="I338" t="s">
        <v>34</v>
      </c>
      <c r="J338" t="s">
        <v>79</v>
      </c>
      <c r="K338">
        <v>1</v>
      </c>
      <c r="L338">
        <v>51</v>
      </c>
      <c r="M338" t="s">
        <v>42</v>
      </c>
      <c r="N338" t="s">
        <v>63</v>
      </c>
    </row>
    <row r="339" spans="1:14" x14ac:dyDescent="0.3">
      <c r="A339">
        <v>71675303</v>
      </c>
      <c r="B339" t="s">
        <v>407</v>
      </c>
      <c r="C339" t="s">
        <v>77</v>
      </c>
      <c r="D339" s="1">
        <v>45467</v>
      </c>
      <c r="E339">
        <v>13363</v>
      </c>
      <c r="F339" t="s">
        <v>16</v>
      </c>
      <c r="G339" t="s">
        <v>17</v>
      </c>
      <c r="H339" t="s">
        <v>81</v>
      </c>
      <c r="I339" t="s">
        <v>27</v>
      </c>
      <c r="J339" t="s">
        <v>28</v>
      </c>
      <c r="K339">
        <v>0</v>
      </c>
      <c r="L339">
        <v>44</v>
      </c>
      <c r="M339" t="s">
        <v>21</v>
      </c>
      <c r="N339" t="s">
        <v>73</v>
      </c>
    </row>
    <row r="340" spans="1:14" x14ac:dyDescent="0.3">
      <c r="A340">
        <v>48040457</v>
      </c>
      <c r="B340" t="s">
        <v>408</v>
      </c>
      <c r="C340" t="s">
        <v>45</v>
      </c>
      <c r="D340" s="1">
        <v>45364</v>
      </c>
      <c r="E340">
        <v>23783</v>
      </c>
      <c r="F340" t="s">
        <v>16</v>
      </c>
      <c r="G340" t="s">
        <v>32</v>
      </c>
      <c r="H340" t="s">
        <v>33</v>
      </c>
      <c r="I340" t="s">
        <v>27</v>
      </c>
      <c r="J340" t="s">
        <v>85</v>
      </c>
      <c r="K340">
        <v>1</v>
      </c>
      <c r="L340">
        <v>52</v>
      </c>
      <c r="M340" t="s">
        <v>29</v>
      </c>
      <c r="N340" t="s">
        <v>87</v>
      </c>
    </row>
    <row r="341" spans="1:14" x14ac:dyDescent="0.3">
      <c r="A341">
        <v>96559509</v>
      </c>
      <c r="B341" t="s">
        <v>409</v>
      </c>
      <c r="C341" t="s">
        <v>45</v>
      </c>
      <c r="D341" s="1">
        <v>45497</v>
      </c>
      <c r="E341">
        <v>16730</v>
      </c>
      <c r="F341" t="s">
        <v>39</v>
      </c>
      <c r="G341" t="s">
        <v>71</v>
      </c>
      <c r="H341" t="s">
        <v>56</v>
      </c>
      <c r="I341" t="s">
        <v>27</v>
      </c>
      <c r="J341" t="s">
        <v>79</v>
      </c>
      <c r="K341">
        <v>0</v>
      </c>
      <c r="L341">
        <v>76</v>
      </c>
      <c r="M341" t="s">
        <v>29</v>
      </c>
      <c r="N341" t="s">
        <v>48</v>
      </c>
    </row>
    <row r="342" spans="1:14" x14ac:dyDescent="0.3">
      <c r="A342">
        <v>62646678</v>
      </c>
      <c r="B342" t="s">
        <v>410</v>
      </c>
      <c r="C342" t="s">
        <v>31</v>
      </c>
      <c r="D342" s="1">
        <v>45519</v>
      </c>
      <c r="E342">
        <v>3855</v>
      </c>
      <c r="F342" t="s">
        <v>50</v>
      </c>
      <c r="G342" t="s">
        <v>17</v>
      </c>
      <c r="H342" t="s">
        <v>33</v>
      </c>
      <c r="I342" t="s">
        <v>34</v>
      </c>
      <c r="J342" t="s">
        <v>35</v>
      </c>
      <c r="K342">
        <v>1</v>
      </c>
      <c r="L342">
        <v>86</v>
      </c>
      <c r="M342" t="s">
        <v>21</v>
      </c>
      <c r="N342" t="s">
        <v>43</v>
      </c>
    </row>
    <row r="343" spans="1:14" x14ac:dyDescent="0.3">
      <c r="A343">
        <v>76540878</v>
      </c>
      <c r="B343" t="s">
        <v>411</v>
      </c>
      <c r="C343" t="s">
        <v>31</v>
      </c>
      <c r="D343" s="1">
        <v>45480</v>
      </c>
      <c r="E343">
        <v>24162</v>
      </c>
      <c r="F343" t="s">
        <v>39</v>
      </c>
      <c r="G343" t="s">
        <v>32</v>
      </c>
      <c r="H343" t="s">
        <v>33</v>
      </c>
      <c r="I343" t="s">
        <v>72</v>
      </c>
      <c r="J343" t="s">
        <v>35</v>
      </c>
      <c r="K343">
        <v>0</v>
      </c>
      <c r="L343">
        <v>50</v>
      </c>
      <c r="M343" t="s">
        <v>42</v>
      </c>
      <c r="N343" t="s">
        <v>73</v>
      </c>
    </row>
    <row r="344" spans="1:14" x14ac:dyDescent="0.3">
      <c r="A344">
        <v>96079306</v>
      </c>
      <c r="B344" t="s">
        <v>412</v>
      </c>
      <c r="C344" t="s">
        <v>38</v>
      </c>
      <c r="D344" s="1">
        <v>45422</v>
      </c>
      <c r="E344">
        <v>22131</v>
      </c>
      <c r="F344" t="s">
        <v>16</v>
      </c>
      <c r="G344" t="s">
        <v>71</v>
      </c>
      <c r="H344" t="s">
        <v>81</v>
      </c>
      <c r="I344" t="s">
        <v>72</v>
      </c>
      <c r="J344" t="s">
        <v>52</v>
      </c>
      <c r="K344">
        <v>0</v>
      </c>
      <c r="L344">
        <v>78</v>
      </c>
      <c r="M344" t="s">
        <v>58</v>
      </c>
      <c r="N344" t="s">
        <v>73</v>
      </c>
    </row>
    <row r="345" spans="1:14" x14ac:dyDescent="0.3">
      <c r="A345">
        <v>40983503</v>
      </c>
      <c r="B345" t="s">
        <v>413</v>
      </c>
      <c r="C345" t="s">
        <v>70</v>
      </c>
      <c r="D345" s="1">
        <v>45552</v>
      </c>
      <c r="E345">
        <v>19992</v>
      </c>
      <c r="F345" t="s">
        <v>61</v>
      </c>
      <c r="G345" t="s">
        <v>17</v>
      </c>
      <c r="H345" t="s">
        <v>46</v>
      </c>
      <c r="I345" t="s">
        <v>27</v>
      </c>
      <c r="J345" t="s">
        <v>35</v>
      </c>
      <c r="K345">
        <v>0</v>
      </c>
      <c r="L345">
        <v>35</v>
      </c>
      <c r="M345" t="s">
        <v>65</v>
      </c>
      <c r="N345" t="s">
        <v>73</v>
      </c>
    </row>
    <row r="346" spans="1:14" x14ac:dyDescent="0.3">
      <c r="A346">
        <v>87061467</v>
      </c>
      <c r="B346" t="s">
        <v>414</v>
      </c>
      <c r="C346" t="s">
        <v>54</v>
      </c>
      <c r="D346" s="1">
        <v>45433</v>
      </c>
      <c r="E346">
        <v>13657</v>
      </c>
      <c r="F346" t="s">
        <v>39</v>
      </c>
      <c r="G346" t="s">
        <v>17</v>
      </c>
      <c r="H346" t="s">
        <v>81</v>
      </c>
      <c r="I346" t="s">
        <v>72</v>
      </c>
      <c r="J346" t="s">
        <v>79</v>
      </c>
      <c r="K346">
        <v>1</v>
      </c>
      <c r="L346">
        <v>78</v>
      </c>
      <c r="M346" t="s">
        <v>58</v>
      </c>
      <c r="N346" t="s">
        <v>59</v>
      </c>
    </row>
    <row r="347" spans="1:14" x14ac:dyDescent="0.3">
      <c r="A347">
        <v>64039519</v>
      </c>
      <c r="B347" t="s">
        <v>415</v>
      </c>
      <c r="C347" t="s">
        <v>24</v>
      </c>
      <c r="D347" s="1">
        <v>45641</v>
      </c>
      <c r="E347">
        <v>15362</v>
      </c>
      <c r="F347" t="s">
        <v>39</v>
      </c>
      <c r="G347" t="s">
        <v>55</v>
      </c>
      <c r="H347" t="s">
        <v>26</v>
      </c>
      <c r="I347" t="s">
        <v>34</v>
      </c>
      <c r="J347" t="s">
        <v>41</v>
      </c>
      <c r="K347">
        <v>0</v>
      </c>
      <c r="L347">
        <v>27</v>
      </c>
      <c r="M347" t="s">
        <v>29</v>
      </c>
      <c r="N347" t="s">
        <v>36</v>
      </c>
    </row>
    <row r="348" spans="1:14" x14ac:dyDescent="0.3">
      <c r="A348">
        <v>42558204</v>
      </c>
      <c r="B348" t="s">
        <v>416</v>
      </c>
      <c r="C348" t="s">
        <v>54</v>
      </c>
      <c r="D348" s="1">
        <v>45526</v>
      </c>
      <c r="E348">
        <v>24102</v>
      </c>
      <c r="F348" t="s">
        <v>39</v>
      </c>
      <c r="G348" t="s">
        <v>71</v>
      </c>
      <c r="H348" t="s">
        <v>18</v>
      </c>
      <c r="I348" t="s">
        <v>19</v>
      </c>
      <c r="J348" t="s">
        <v>35</v>
      </c>
      <c r="K348">
        <v>0</v>
      </c>
      <c r="L348">
        <v>71</v>
      </c>
      <c r="M348" t="s">
        <v>42</v>
      </c>
      <c r="N348" t="s">
        <v>73</v>
      </c>
    </row>
    <row r="349" spans="1:14" x14ac:dyDescent="0.3">
      <c r="A349">
        <v>32374141</v>
      </c>
      <c r="B349" t="s">
        <v>417</v>
      </c>
      <c r="C349" t="s">
        <v>77</v>
      </c>
      <c r="D349" s="1">
        <v>45560</v>
      </c>
      <c r="E349">
        <v>2742</v>
      </c>
      <c r="F349" t="s">
        <v>39</v>
      </c>
      <c r="G349" t="s">
        <v>71</v>
      </c>
      <c r="H349" t="s">
        <v>62</v>
      </c>
      <c r="I349" t="s">
        <v>27</v>
      </c>
      <c r="J349" t="s">
        <v>52</v>
      </c>
      <c r="K349">
        <v>1</v>
      </c>
      <c r="L349">
        <v>21</v>
      </c>
      <c r="M349" t="s">
        <v>65</v>
      </c>
      <c r="N349" t="s">
        <v>36</v>
      </c>
    </row>
    <row r="350" spans="1:14" x14ac:dyDescent="0.3">
      <c r="A350">
        <v>26314863</v>
      </c>
      <c r="B350" t="s">
        <v>418</v>
      </c>
      <c r="C350" t="s">
        <v>45</v>
      </c>
      <c r="D350" s="1">
        <v>45576</v>
      </c>
      <c r="E350">
        <v>2096</v>
      </c>
      <c r="F350" t="s">
        <v>61</v>
      </c>
      <c r="G350" t="s">
        <v>25</v>
      </c>
      <c r="H350" t="s">
        <v>51</v>
      </c>
      <c r="I350" t="s">
        <v>19</v>
      </c>
      <c r="J350" t="s">
        <v>52</v>
      </c>
      <c r="K350">
        <v>1</v>
      </c>
      <c r="L350">
        <v>56</v>
      </c>
      <c r="M350" t="s">
        <v>29</v>
      </c>
      <c r="N350" t="s">
        <v>36</v>
      </c>
    </row>
    <row r="351" spans="1:14" x14ac:dyDescent="0.3">
      <c r="A351">
        <v>78822238</v>
      </c>
      <c r="B351" t="s">
        <v>419</v>
      </c>
      <c r="C351" t="s">
        <v>15</v>
      </c>
      <c r="D351" s="1">
        <v>45355</v>
      </c>
      <c r="E351">
        <v>15624</v>
      </c>
      <c r="F351" t="s">
        <v>50</v>
      </c>
      <c r="G351" t="s">
        <v>55</v>
      </c>
      <c r="H351" t="s">
        <v>18</v>
      </c>
      <c r="I351" t="s">
        <v>19</v>
      </c>
      <c r="J351" t="s">
        <v>85</v>
      </c>
      <c r="K351">
        <v>0</v>
      </c>
      <c r="L351">
        <v>84</v>
      </c>
      <c r="M351" t="s">
        <v>58</v>
      </c>
      <c r="N351" t="s">
        <v>87</v>
      </c>
    </row>
    <row r="352" spans="1:14" x14ac:dyDescent="0.3">
      <c r="A352">
        <v>69790649</v>
      </c>
      <c r="B352" t="s">
        <v>420</v>
      </c>
      <c r="C352" t="s">
        <v>38</v>
      </c>
      <c r="D352" s="1">
        <v>45462</v>
      </c>
      <c r="E352">
        <v>16638</v>
      </c>
      <c r="F352" t="s">
        <v>39</v>
      </c>
      <c r="G352" t="s">
        <v>55</v>
      </c>
      <c r="H352" t="s">
        <v>103</v>
      </c>
      <c r="I352" t="s">
        <v>34</v>
      </c>
      <c r="J352" t="s">
        <v>79</v>
      </c>
      <c r="K352">
        <v>0</v>
      </c>
      <c r="L352">
        <v>69</v>
      </c>
      <c r="M352" t="s">
        <v>65</v>
      </c>
      <c r="N352" t="s">
        <v>63</v>
      </c>
    </row>
    <row r="353" spans="1:14" x14ac:dyDescent="0.3">
      <c r="A353">
        <v>88888500</v>
      </c>
      <c r="B353" t="s">
        <v>421</v>
      </c>
      <c r="C353" t="s">
        <v>70</v>
      </c>
      <c r="D353" s="1">
        <v>45413</v>
      </c>
      <c r="E353">
        <v>13761</v>
      </c>
      <c r="F353" t="s">
        <v>16</v>
      </c>
      <c r="G353" t="s">
        <v>55</v>
      </c>
      <c r="H353" t="s">
        <v>56</v>
      </c>
      <c r="I353" t="s">
        <v>27</v>
      </c>
      <c r="J353" t="s">
        <v>41</v>
      </c>
      <c r="K353">
        <v>0</v>
      </c>
      <c r="L353">
        <v>90</v>
      </c>
      <c r="M353" t="s">
        <v>58</v>
      </c>
      <c r="N353" t="s">
        <v>36</v>
      </c>
    </row>
    <row r="354" spans="1:14" x14ac:dyDescent="0.3">
      <c r="A354">
        <v>69935435</v>
      </c>
      <c r="B354" t="s">
        <v>422</v>
      </c>
      <c r="C354" t="s">
        <v>15</v>
      </c>
      <c r="D354" s="1">
        <v>45313</v>
      </c>
      <c r="E354">
        <v>24993</v>
      </c>
      <c r="F354" t="s">
        <v>39</v>
      </c>
      <c r="G354" t="s">
        <v>32</v>
      </c>
      <c r="H354" t="s">
        <v>56</v>
      </c>
      <c r="I354" t="s">
        <v>19</v>
      </c>
      <c r="J354" t="s">
        <v>57</v>
      </c>
      <c r="K354">
        <v>0</v>
      </c>
      <c r="L354">
        <v>65</v>
      </c>
      <c r="M354" t="s">
        <v>42</v>
      </c>
      <c r="N354" t="s">
        <v>48</v>
      </c>
    </row>
    <row r="355" spans="1:14" x14ac:dyDescent="0.3">
      <c r="A355">
        <v>97724869</v>
      </c>
      <c r="B355" t="s">
        <v>423</v>
      </c>
      <c r="C355" t="s">
        <v>45</v>
      </c>
      <c r="D355" s="1">
        <v>45308</v>
      </c>
      <c r="E355">
        <v>17599</v>
      </c>
      <c r="F355" t="s">
        <v>39</v>
      </c>
      <c r="G355" t="s">
        <v>71</v>
      </c>
      <c r="H355" t="s">
        <v>62</v>
      </c>
      <c r="I355" t="s">
        <v>72</v>
      </c>
      <c r="J355" t="s">
        <v>68</v>
      </c>
      <c r="K355">
        <v>1</v>
      </c>
      <c r="L355">
        <v>36</v>
      </c>
      <c r="M355" t="s">
        <v>21</v>
      </c>
      <c r="N355" t="s">
        <v>59</v>
      </c>
    </row>
    <row r="356" spans="1:14" x14ac:dyDescent="0.3">
      <c r="A356">
        <v>73492027</v>
      </c>
      <c r="B356" t="s">
        <v>424</v>
      </c>
      <c r="C356" t="s">
        <v>101</v>
      </c>
      <c r="D356" s="1">
        <v>45423</v>
      </c>
      <c r="E356">
        <v>14301</v>
      </c>
      <c r="F356" t="s">
        <v>39</v>
      </c>
      <c r="G356" t="s">
        <v>55</v>
      </c>
      <c r="H356" t="s">
        <v>33</v>
      </c>
      <c r="I356" t="s">
        <v>34</v>
      </c>
      <c r="J356" t="s">
        <v>20</v>
      </c>
      <c r="K356">
        <v>1</v>
      </c>
      <c r="L356">
        <v>51</v>
      </c>
      <c r="M356" t="s">
        <v>58</v>
      </c>
      <c r="N356" t="s">
        <v>89</v>
      </c>
    </row>
    <row r="357" spans="1:14" x14ac:dyDescent="0.3">
      <c r="A357">
        <v>20736730</v>
      </c>
      <c r="B357" t="s">
        <v>425</v>
      </c>
      <c r="C357" t="s">
        <v>75</v>
      </c>
      <c r="D357" s="1">
        <v>45312</v>
      </c>
      <c r="E357">
        <v>3728</v>
      </c>
      <c r="F357" t="s">
        <v>39</v>
      </c>
      <c r="G357" t="s">
        <v>25</v>
      </c>
      <c r="H357" t="s">
        <v>81</v>
      </c>
      <c r="I357" t="s">
        <v>19</v>
      </c>
      <c r="J357" t="s">
        <v>41</v>
      </c>
      <c r="K357">
        <v>0</v>
      </c>
      <c r="L357">
        <v>46</v>
      </c>
      <c r="M357" t="s">
        <v>29</v>
      </c>
      <c r="N357" t="s">
        <v>89</v>
      </c>
    </row>
    <row r="358" spans="1:14" x14ac:dyDescent="0.3">
      <c r="A358">
        <v>47105121</v>
      </c>
      <c r="B358" t="s">
        <v>426</v>
      </c>
      <c r="C358" t="s">
        <v>38</v>
      </c>
      <c r="D358" s="1">
        <v>45499</v>
      </c>
      <c r="E358">
        <v>19255</v>
      </c>
      <c r="F358" t="s">
        <v>16</v>
      </c>
      <c r="G358" t="s">
        <v>71</v>
      </c>
      <c r="H358" t="s">
        <v>81</v>
      </c>
      <c r="I358" t="s">
        <v>34</v>
      </c>
      <c r="J358" t="s">
        <v>41</v>
      </c>
      <c r="K358">
        <v>1</v>
      </c>
      <c r="L358">
        <v>86</v>
      </c>
      <c r="M358" t="s">
        <v>58</v>
      </c>
      <c r="N358" t="s">
        <v>48</v>
      </c>
    </row>
    <row r="359" spans="1:14" x14ac:dyDescent="0.3">
      <c r="A359">
        <v>96725697</v>
      </c>
      <c r="B359" t="s">
        <v>427</v>
      </c>
      <c r="C359" t="s">
        <v>75</v>
      </c>
      <c r="D359" s="1">
        <v>45633</v>
      </c>
      <c r="E359">
        <v>7013</v>
      </c>
      <c r="F359" t="s">
        <v>39</v>
      </c>
      <c r="G359" t="s">
        <v>32</v>
      </c>
      <c r="H359" t="s">
        <v>18</v>
      </c>
      <c r="I359" t="s">
        <v>72</v>
      </c>
      <c r="J359" t="s">
        <v>20</v>
      </c>
      <c r="K359">
        <v>0</v>
      </c>
      <c r="L359">
        <v>55</v>
      </c>
      <c r="M359" t="s">
        <v>47</v>
      </c>
      <c r="N359" t="s">
        <v>48</v>
      </c>
    </row>
    <row r="360" spans="1:14" x14ac:dyDescent="0.3">
      <c r="A360">
        <v>59503648</v>
      </c>
      <c r="B360" t="s">
        <v>428</v>
      </c>
      <c r="C360" t="s">
        <v>45</v>
      </c>
      <c r="D360" s="1">
        <v>45519</v>
      </c>
      <c r="E360">
        <v>3188</v>
      </c>
      <c r="F360" t="s">
        <v>39</v>
      </c>
      <c r="G360" t="s">
        <v>17</v>
      </c>
      <c r="H360" t="s">
        <v>103</v>
      </c>
      <c r="I360" t="s">
        <v>34</v>
      </c>
      <c r="J360" t="s">
        <v>79</v>
      </c>
      <c r="K360">
        <v>0</v>
      </c>
      <c r="L360">
        <v>82</v>
      </c>
      <c r="M360" t="s">
        <v>42</v>
      </c>
      <c r="N360" t="s">
        <v>87</v>
      </c>
    </row>
    <row r="361" spans="1:14" x14ac:dyDescent="0.3">
      <c r="A361">
        <v>56595253</v>
      </c>
      <c r="B361" t="s">
        <v>429</v>
      </c>
      <c r="C361" t="s">
        <v>101</v>
      </c>
      <c r="D361" s="1">
        <v>45615</v>
      </c>
      <c r="E361">
        <v>7177</v>
      </c>
      <c r="F361" t="s">
        <v>16</v>
      </c>
      <c r="G361" t="s">
        <v>55</v>
      </c>
      <c r="H361" t="s">
        <v>81</v>
      </c>
      <c r="I361" t="s">
        <v>34</v>
      </c>
      <c r="J361" t="s">
        <v>68</v>
      </c>
      <c r="K361">
        <v>0</v>
      </c>
      <c r="L361">
        <v>70</v>
      </c>
      <c r="M361" t="s">
        <v>21</v>
      </c>
      <c r="N361" t="s">
        <v>48</v>
      </c>
    </row>
    <row r="362" spans="1:14" x14ac:dyDescent="0.3">
      <c r="A362">
        <v>38403665</v>
      </c>
      <c r="B362" t="s">
        <v>430</v>
      </c>
      <c r="C362" t="s">
        <v>75</v>
      </c>
      <c r="D362" s="1">
        <v>45376</v>
      </c>
      <c r="E362">
        <v>9812</v>
      </c>
      <c r="F362" t="s">
        <v>61</v>
      </c>
      <c r="G362" t="s">
        <v>55</v>
      </c>
      <c r="H362" t="s">
        <v>46</v>
      </c>
      <c r="I362" t="s">
        <v>34</v>
      </c>
      <c r="J362" t="s">
        <v>41</v>
      </c>
      <c r="K362">
        <v>0</v>
      </c>
      <c r="L362">
        <v>23</v>
      </c>
      <c r="M362" t="s">
        <v>65</v>
      </c>
      <c r="N362" t="s">
        <v>59</v>
      </c>
    </row>
    <row r="363" spans="1:14" x14ac:dyDescent="0.3">
      <c r="A363">
        <v>24957911</v>
      </c>
      <c r="B363" t="s">
        <v>431</v>
      </c>
      <c r="C363" t="s">
        <v>15</v>
      </c>
      <c r="D363" s="1">
        <v>45461</v>
      </c>
      <c r="E363">
        <v>10515</v>
      </c>
      <c r="F363" t="s">
        <v>39</v>
      </c>
      <c r="G363" t="s">
        <v>17</v>
      </c>
      <c r="H363" t="s">
        <v>18</v>
      </c>
      <c r="I363" t="s">
        <v>19</v>
      </c>
      <c r="J363" t="s">
        <v>52</v>
      </c>
      <c r="K363">
        <v>0</v>
      </c>
      <c r="L363">
        <v>51</v>
      </c>
      <c r="M363" t="s">
        <v>21</v>
      </c>
      <c r="N363" t="s">
        <v>59</v>
      </c>
    </row>
    <row r="364" spans="1:14" x14ac:dyDescent="0.3">
      <c r="A364">
        <v>26453296</v>
      </c>
      <c r="B364" t="s">
        <v>432</v>
      </c>
      <c r="C364" t="s">
        <v>54</v>
      </c>
      <c r="D364" s="1">
        <v>45577</v>
      </c>
      <c r="E364">
        <v>15195</v>
      </c>
      <c r="F364" t="s">
        <v>39</v>
      </c>
      <c r="G364" t="s">
        <v>55</v>
      </c>
      <c r="H364" t="s">
        <v>26</v>
      </c>
      <c r="I364" t="s">
        <v>27</v>
      </c>
      <c r="J364" t="s">
        <v>57</v>
      </c>
      <c r="K364">
        <v>0</v>
      </c>
      <c r="L364">
        <v>63</v>
      </c>
      <c r="M364" t="s">
        <v>42</v>
      </c>
      <c r="N364" t="s">
        <v>87</v>
      </c>
    </row>
    <row r="365" spans="1:14" x14ac:dyDescent="0.3">
      <c r="A365">
        <v>57959505</v>
      </c>
      <c r="B365" t="s">
        <v>433</v>
      </c>
      <c r="C365" t="s">
        <v>75</v>
      </c>
      <c r="D365" s="1">
        <v>45330</v>
      </c>
      <c r="E365">
        <v>7669</v>
      </c>
      <c r="F365" t="s">
        <v>39</v>
      </c>
      <c r="G365" t="s">
        <v>17</v>
      </c>
      <c r="H365" t="s">
        <v>33</v>
      </c>
      <c r="I365" t="s">
        <v>72</v>
      </c>
      <c r="J365" t="s">
        <v>35</v>
      </c>
      <c r="K365">
        <v>0</v>
      </c>
      <c r="L365">
        <v>56</v>
      </c>
      <c r="M365" t="s">
        <v>58</v>
      </c>
      <c r="N365" t="s">
        <v>36</v>
      </c>
    </row>
    <row r="366" spans="1:14" x14ac:dyDescent="0.3">
      <c r="A366">
        <v>25638826</v>
      </c>
      <c r="B366" t="s">
        <v>434</v>
      </c>
      <c r="C366" t="s">
        <v>15</v>
      </c>
      <c r="D366" s="1">
        <v>45533</v>
      </c>
      <c r="E366">
        <v>15548</v>
      </c>
      <c r="F366" t="s">
        <v>16</v>
      </c>
      <c r="G366" t="s">
        <v>55</v>
      </c>
      <c r="H366" t="s">
        <v>62</v>
      </c>
      <c r="I366" t="s">
        <v>34</v>
      </c>
      <c r="J366" t="s">
        <v>52</v>
      </c>
      <c r="K366">
        <v>1</v>
      </c>
      <c r="L366">
        <v>60</v>
      </c>
      <c r="M366" t="s">
        <v>21</v>
      </c>
      <c r="N366" t="s">
        <v>36</v>
      </c>
    </row>
    <row r="367" spans="1:14" x14ac:dyDescent="0.3">
      <c r="A367">
        <v>87559065</v>
      </c>
      <c r="B367" t="s">
        <v>435</v>
      </c>
      <c r="C367" t="s">
        <v>45</v>
      </c>
      <c r="D367" s="1">
        <v>45343</v>
      </c>
      <c r="E367">
        <v>7397</v>
      </c>
      <c r="F367" t="s">
        <v>61</v>
      </c>
      <c r="G367" t="s">
        <v>32</v>
      </c>
      <c r="H367" t="s">
        <v>81</v>
      </c>
      <c r="I367" t="s">
        <v>72</v>
      </c>
      <c r="J367" t="s">
        <v>35</v>
      </c>
      <c r="K367">
        <v>0</v>
      </c>
      <c r="L367">
        <v>54</v>
      </c>
      <c r="M367" t="s">
        <v>42</v>
      </c>
      <c r="N367" t="s">
        <v>63</v>
      </c>
    </row>
    <row r="368" spans="1:14" x14ac:dyDescent="0.3">
      <c r="A368">
        <v>91102338</v>
      </c>
      <c r="B368" t="s">
        <v>436</v>
      </c>
      <c r="C368" t="s">
        <v>77</v>
      </c>
      <c r="D368" s="1">
        <v>45448</v>
      </c>
      <c r="E368">
        <v>12541</v>
      </c>
      <c r="F368" t="s">
        <v>61</v>
      </c>
      <c r="G368" t="s">
        <v>55</v>
      </c>
      <c r="H368" t="s">
        <v>46</v>
      </c>
      <c r="I368" t="s">
        <v>72</v>
      </c>
      <c r="J368" t="s">
        <v>35</v>
      </c>
      <c r="K368">
        <v>0</v>
      </c>
      <c r="L368">
        <v>86</v>
      </c>
      <c r="M368" t="s">
        <v>58</v>
      </c>
      <c r="N368" t="s">
        <v>63</v>
      </c>
    </row>
    <row r="369" spans="1:14" x14ac:dyDescent="0.3">
      <c r="A369">
        <v>65621079</v>
      </c>
      <c r="B369" t="s">
        <v>437</v>
      </c>
      <c r="C369" t="s">
        <v>38</v>
      </c>
      <c r="D369" s="1">
        <v>45386</v>
      </c>
      <c r="E369">
        <v>23248</v>
      </c>
      <c r="F369" t="s">
        <v>39</v>
      </c>
      <c r="G369" t="s">
        <v>32</v>
      </c>
      <c r="H369" t="s">
        <v>33</v>
      </c>
      <c r="I369" t="s">
        <v>19</v>
      </c>
      <c r="J369" t="s">
        <v>35</v>
      </c>
      <c r="K369">
        <v>0</v>
      </c>
      <c r="L369">
        <v>90</v>
      </c>
      <c r="M369" t="s">
        <v>21</v>
      </c>
      <c r="N369" t="s">
        <v>59</v>
      </c>
    </row>
    <row r="370" spans="1:14" x14ac:dyDescent="0.3">
      <c r="A370">
        <v>71221324</v>
      </c>
      <c r="B370" t="s">
        <v>438</v>
      </c>
      <c r="C370" t="s">
        <v>75</v>
      </c>
      <c r="D370" s="1">
        <v>45326</v>
      </c>
      <c r="E370">
        <v>2156</v>
      </c>
      <c r="F370" t="s">
        <v>16</v>
      </c>
      <c r="G370" t="s">
        <v>25</v>
      </c>
      <c r="H370" t="s">
        <v>26</v>
      </c>
      <c r="I370" t="s">
        <v>19</v>
      </c>
      <c r="J370" t="s">
        <v>20</v>
      </c>
      <c r="K370">
        <v>0</v>
      </c>
      <c r="L370">
        <v>89</v>
      </c>
      <c r="M370" t="s">
        <v>42</v>
      </c>
      <c r="N370" t="s">
        <v>36</v>
      </c>
    </row>
    <row r="371" spans="1:14" x14ac:dyDescent="0.3">
      <c r="A371">
        <v>91713852</v>
      </c>
      <c r="B371" t="s">
        <v>439</v>
      </c>
      <c r="C371" t="s">
        <v>54</v>
      </c>
      <c r="D371" s="1">
        <v>45433</v>
      </c>
      <c r="E371">
        <v>12799</v>
      </c>
      <c r="F371" t="s">
        <v>39</v>
      </c>
      <c r="G371" t="s">
        <v>17</v>
      </c>
      <c r="H371" t="s">
        <v>18</v>
      </c>
      <c r="I371" t="s">
        <v>19</v>
      </c>
      <c r="J371" t="s">
        <v>41</v>
      </c>
      <c r="K371">
        <v>0</v>
      </c>
      <c r="L371">
        <v>84</v>
      </c>
      <c r="M371" t="s">
        <v>47</v>
      </c>
      <c r="N371" t="s">
        <v>63</v>
      </c>
    </row>
    <row r="372" spans="1:14" x14ac:dyDescent="0.3">
      <c r="A372">
        <v>13851101</v>
      </c>
      <c r="B372" t="s">
        <v>440</v>
      </c>
      <c r="C372" t="s">
        <v>31</v>
      </c>
      <c r="D372" s="1">
        <v>45328</v>
      </c>
      <c r="E372">
        <v>16475</v>
      </c>
      <c r="F372" t="s">
        <v>61</v>
      </c>
      <c r="G372" t="s">
        <v>25</v>
      </c>
      <c r="H372" t="s">
        <v>18</v>
      </c>
      <c r="I372" t="s">
        <v>27</v>
      </c>
      <c r="J372" t="s">
        <v>57</v>
      </c>
      <c r="K372">
        <v>0</v>
      </c>
      <c r="L372">
        <v>46</v>
      </c>
      <c r="M372" t="s">
        <v>47</v>
      </c>
      <c r="N372" t="s">
        <v>73</v>
      </c>
    </row>
    <row r="373" spans="1:14" x14ac:dyDescent="0.3">
      <c r="A373">
        <v>50902245</v>
      </c>
      <c r="B373" t="s">
        <v>441</v>
      </c>
      <c r="C373" t="s">
        <v>77</v>
      </c>
      <c r="D373" s="1">
        <v>45371</v>
      </c>
      <c r="E373">
        <v>3482</v>
      </c>
      <c r="F373" t="s">
        <v>50</v>
      </c>
      <c r="G373" t="s">
        <v>71</v>
      </c>
      <c r="H373" t="s">
        <v>33</v>
      </c>
      <c r="I373" t="s">
        <v>27</v>
      </c>
      <c r="J373" t="s">
        <v>20</v>
      </c>
      <c r="K373">
        <v>0</v>
      </c>
      <c r="L373">
        <v>51</v>
      </c>
      <c r="M373" t="s">
        <v>21</v>
      </c>
      <c r="N373" t="s">
        <v>87</v>
      </c>
    </row>
    <row r="374" spans="1:14" x14ac:dyDescent="0.3">
      <c r="A374">
        <v>36905292</v>
      </c>
      <c r="B374" t="s">
        <v>442</v>
      </c>
      <c r="C374" t="s">
        <v>75</v>
      </c>
      <c r="D374" s="1">
        <v>45316</v>
      </c>
      <c r="E374">
        <v>15347</v>
      </c>
      <c r="F374" t="s">
        <v>39</v>
      </c>
      <c r="G374" t="s">
        <v>32</v>
      </c>
      <c r="H374" t="s">
        <v>46</v>
      </c>
      <c r="I374" t="s">
        <v>27</v>
      </c>
      <c r="J374" t="s">
        <v>85</v>
      </c>
      <c r="K374">
        <v>0</v>
      </c>
      <c r="L374">
        <v>50</v>
      </c>
      <c r="M374" t="s">
        <v>58</v>
      </c>
      <c r="N374" t="s">
        <v>43</v>
      </c>
    </row>
    <row r="375" spans="1:14" x14ac:dyDescent="0.3">
      <c r="A375">
        <v>70408964</v>
      </c>
      <c r="B375" t="s">
        <v>443</v>
      </c>
      <c r="C375" t="s">
        <v>45</v>
      </c>
      <c r="D375" s="1">
        <v>45311</v>
      </c>
      <c r="E375">
        <v>3959</v>
      </c>
      <c r="F375" t="s">
        <v>50</v>
      </c>
      <c r="G375" t="s">
        <v>32</v>
      </c>
      <c r="H375" t="s">
        <v>18</v>
      </c>
      <c r="I375" t="s">
        <v>19</v>
      </c>
      <c r="J375" t="s">
        <v>41</v>
      </c>
      <c r="K375">
        <v>0</v>
      </c>
      <c r="L375">
        <v>52</v>
      </c>
      <c r="M375" t="s">
        <v>58</v>
      </c>
      <c r="N375" t="s">
        <v>46</v>
      </c>
    </row>
    <row r="376" spans="1:14" x14ac:dyDescent="0.3">
      <c r="A376">
        <v>19245784</v>
      </c>
      <c r="B376" t="s">
        <v>444</v>
      </c>
      <c r="C376" t="s">
        <v>70</v>
      </c>
      <c r="D376" s="1">
        <v>45378</v>
      </c>
      <c r="E376">
        <v>14491</v>
      </c>
      <c r="F376" t="s">
        <v>39</v>
      </c>
      <c r="G376" t="s">
        <v>32</v>
      </c>
      <c r="H376" t="s">
        <v>33</v>
      </c>
      <c r="I376" t="s">
        <v>19</v>
      </c>
      <c r="J376" t="s">
        <v>35</v>
      </c>
      <c r="K376">
        <v>0</v>
      </c>
      <c r="L376">
        <v>11</v>
      </c>
      <c r="M376" t="s">
        <v>65</v>
      </c>
      <c r="N376" t="s">
        <v>87</v>
      </c>
    </row>
    <row r="377" spans="1:14" x14ac:dyDescent="0.3">
      <c r="A377">
        <v>73157031</v>
      </c>
      <c r="B377" t="s">
        <v>445</v>
      </c>
      <c r="C377" t="s">
        <v>77</v>
      </c>
      <c r="D377" s="1">
        <v>45307</v>
      </c>
      <c r="E377">
        <v>1388</v>
      </c>
      <c r="F377" t="s">
        <v>50</v>
      </c>
      <c r="G377" t="s">
        <v>32</v>
      </c>
      <c r="H377" t="s">
        <v>46</v>
      </c>
      <c r="I377" t="s">
        <v>72</v>
      </c>
      <c r="J377" t="s">
        <v>20</v>
      </c>
      <c r="K377">
        <v>0</v>
      </c>
      <c r="L377">
        <v>67</v>
      </c>
      <c r="M377" t="s">
        <v>65</v>
      </c>
      <c r="N377" t="s">
        <v>43</v>
      </c>
    </row>
    <row r="378" spans="1:14" x14ac:dyDescent="0.3">
      <c r="A378">
        <v>47817516</v>
      </c>
      <c r="B378" t="s">
        <v>446</v>
      </c>
      <c r="C378" t="s">
        <v>24</v>
      </c>
      <c r="D378" s="1">
        <v>45551</v>
      </c>
      <c r="E378">
        <v>11074</v>
      </c>
      <c r="F378" t="s">
        <v>16</v>
      </c>
      <c r="G378" t="s">
        <v>32</v>
      </c>
      <c r="H378" t="s">
        <v>51</v>
      </c>
      <c r="I378" t="s">
        <v>19</v>
      </c>
      <c r="J378" t="s">
        <v>57</v>
      </c>
      <c r="K378">
        <v>0</v>
      </c>
      <c r="L378">
        <v>51</v>
      </c>
      <c r="M378" t="s">
        <v>29</v>
      </c>
      <c r="N378" t="s">
        <v>36</v>
      </c>
    </row>
    <row r="379" spans="1:14" x14ac:dyDescent="0.3">
      <c r="A379">
        <v>29279198</v>
      </c>
      <c r="B379" t="s">
        <v>447</v>
      </c>
      <c r="C379" t="s">
        <v>24</v>
      </c>
      <c r="D379" s="1">
        <v>45582</v>
      </c>
      <c r="E379">
        <v>24500</v>
      </c>
      <c r="F379" t="s">
        <v>50</v>
      </c>
      <c r="G379" t="s">
        <v>71</v>
      </c>
      <c r="H379" t="s">
        <v>81</v>
      </c>
      <c r="I379" t="s">
        <v>34</v>
      </c>
      <c r="J379" t="s">
        <v>79</v>
      </c>
      <c r="K379">
        <v>0</v>
      </c>
      <c r="L379">
        <v>51</v>
      </c>
      <c r="M379" t="s">
        <v>42</v>
      </c>
      <c r="N379" t="s">
        <v>36</v>
      </c>
    </row>
    <row r="380" spans="1:14" x14ac:dyDescent="0.3">
      <c r="A380">
        <v>82704953</v>
      </c>
      <c r="B380" t="s">
        <v>448</v>
      </c>
      <c r="C380" t="s">
        <v>77</v>
      </c>
      <c r="D380" s="1">
        <v>45379</v>
      </c>
      <c r="E380">
        <v>1040</v>
      </c>
      <c r="F380" t="s">
        <v>39</v>
      </c>
      <c r="G380" t="s">
        <v>25</v>
      </c>
      <c r="H380" t="s">
        <v>18</v>
      </c>
      <c r="I380" t="s">
        <v>34</v>
      </c>
      <c r="J380" t="s">
        <v>85</v>
      </c>
      <c r="K380">
        <v>1</v>
      </c>
      <c r="L380">
        <v>21</v>
      </c>
      <c r="M380" t="s">
        <v>47</v>
      </c>
      <c r="N380" t="s">
        <v>87</v>
      </c>
    </row>
    <row r="381" spans="1:14" x14ac:dyDescent="0.3">
      <c r="A381">
        <v>55690090</v>
      </c>
      <c r="B381" t="s">
        <v>449</v>
      </c>
      <c r="C381" t="s">
        <v>38</v>
      </c>
      <c r="D381" s="1">
        <v>45567</v>
      </c>
      <c r="E381">
        <v>23121</v>
      </c>
      <c r="F381" t="s">
        <v>39</v>
      </c>
      <c r="G381" t="s">
        <v>32</v>
      </c>
      <c r="H381" t="s">
        <v>103</v>
      </c>
      <c r="I381" t="s">
        <v>72</v>
      </c>
      <c r="J381" t="s">
        <v>20</v>
      </c>
      <c r="K381">
        <v>0</v>
      </c>
      <c r="L381">
        <v>66</v>
      </c>
      <c r="M381" t="s">
        <v>29</v>
      </c>
      <c r="N381" t="s">
        <v>59</v>
      </c>
    </row>
    <row r="382" spans="1:14" x14ac:dyDescent="0.3">
      <c r="A382">
        <v>27774338</v>
      </c>
      <c r="B382" t="s">
        <v>450</v>
      </c>
      <c r="C382" t="s">
        <v>70</v>
      </c>
      <c r="D382" s="1">
        <v>45611</v>
      </c>
      <c r="E382">
        <v>22280</v>
      </c>
      <c r="F382" t="s">
        <v>39</v>
      </c>
      <c r="G382" t="s">
        <v>55</v>
      </c>
      <c r="H382" t="s">
        <v>103</v>
      </c>
      <c r="I382" t="s">
        <v>27</v>
      </c>
      <c r="J382" t="s">
        <v>20</v>
      </c>
      <c r="K382">
        <v>0</v>
      </c>
      <c r="L382">
        <v>36</v>
      </c>
      <c r="M382" t="s">
        <v>29</v>
      </c>
      <c r="N382" t="s">
        <v>73</v>
      </c>
    </row>
    <row r="383" spans="1:14" x14ac:dyDescent="0.3">
      <c r="A383">
        <v>54588413</v>
      </c>
      <c r="B383" t="s">
        <v>451</v>
      </c>
      <c r="C383" t="s">
        <v>31</v>
      </c>
      <c r="D383" s="1">
        <v>45413</v>
      </c>
      <c r="E383">
        <v>15188</v>
      </c>
      <c r="F383" t="s">
        <v>61</v>
      </c>
      <c r="G383" t="s">
        <v>25</v>
      </c>
      <c r="H383" t="s">
        <v>51</v>
      </c>
      <c r="I383" t="s">
        <v>34</v>
      </c>
      <c r="J383" t="s">
        <v>79</v>
      </c>
      <c r="K383">
        <v>1</v>
      </c>
      <c r="L383">
        <v>35</v>
      </c>
      <c r="M383" t="s">
        <v>29</v>
      </c>
      <c r="N383" t="s">
        <v>87</v>
      </c>
    </row>
    <row r="384" spans="1:14" x14ac:dyDescent="0.3">
      <c r="A384">
        <v>61243452</v>
      </c>
      <c r="B384" t="s">
        <v>452</v>
      </c>
      <c r="C384" t="s">
        <v>70</v>
      </c>
      <c r="D384" s="1">
        <v>45522</v>
      </c>
      <c r="E384">
        <v>15686</v>
      </c>
      <c r="F384" t="s">
        <v>39</v>
      </c>
      <c r="G384" t="s">
        <v>25</v>
      </c>
      <c r="H384" t="s">
        <v>81</v>
      </c>
      <c r="I384" t="s">
        <v>27</v>
      </c>
      <c r="J384" t="s">
        <v>52</v>
      </c>
      <c r="K384">
        <v>0</v>
      </c>
      <c r="L384">
        <v>44</v>
      </c>
      <c r="M384" t="s">
        <v>47</v>
      </c>
      <c r="N384" t="s">
        <v>63</v>
      </c>
    </row>
    <row r="385" spans="1:14" x14ac:dyDescent="0.3">
      <c r="A385">
        <v>10503549</v>
      </c>
      <c r="B385" t="s">
        <v>453</v>
      </c>
      <c r="C385" t="s">
        <v>38</v>
      </c>
      <c r="D385" s="1">
        <v>45351</v>
      </c>
      <c r="E385">
        <v>15834</v>
      </c>
      <c r="F385" t="s">
        <v>39</v>
      </c>
      <c r="G385" t="s">
        <v>25</v>
      </c>
      <c r="H385" t="s">
        <v>81</v>
      </c>
      <c r="I385" t="s">
        <v>34</v>
      </c>
      <c r="J385" t="s">
        <v>28</v>
      </c>
      <c r="K385">
        <v>0</v>
      </c>
      <c r="L385">
        <v>26</v>
      </c>
      <c r="M385" t="s">
        <v>42</v>
      </c>
      <c r="N385" t="s">
        <v>22</v>
      </c>
    </row>
    <row r="386" spans="1:14" x14ac:dyDescent="0.3">
      <c r="A386">
        <v>19760771</v>
      </c>
      <c r="B386" t="s">
        <v>454</v>
      </c>
      <c r="C386" t="s">
        <v>101</v>
      </c>
      <c r="D386" s="1">
        <v>45620</v>
      </c>
      <c r="E386">
        <v>12593</v>
      </c>
      <c r="F386" t="s">
        <v>16</v>
      </c>
      <c r="G386" t="s">
        <v>17</v>
      </c>
      <c r="H386" t="s">
        <v>18</v>
      </c>
      <c r="I386" t="s">
        <v>72</v>
      </c>
      <c r="J386" t="s">
        <v>28</v>
      </c>
      <c r="K386">
        <v>0</v>
      </c>
      <c r="L386">
        <v>18</v>
      </c>
      <c r="M386" t="s">
        <v>65</v>
      </c>
      <c r="N386" t="s">
        <v>87</v>
      </c>
    </row>
    <row r="387" spans="1:14" x14ac:dyDescent="0.3">
      <c r="A387">
        <v>99943976</v>
      </c>
      <c r="B387" t="s">
        <v>455</v>
      </c>
      <c r="C387" t="s">
        <v>24</v>
      </c>
      <c r="D387" s="1">
        <v>45306</v>
      </c>
      <c r="E387">
        <v>22141</v>
      </c>
      <c r="F387" t="s">
        <v>16</v>
      </c>
      <c r="G387" t="s">
        <v>25</v>
      </c>
      <c r="H387" t="s">
        <v>51</v>
      </c>
      <c r="I387" t="s">
        <v>19</v>
      </c>
      <c r="J387" t="s">
        <v>20</v>
      </c>
      <c r="K387">
        <v>0</v>
      </c>
      <c r="L387">
        <v>17</v>
      </c>
      <c r="M387" t="s">
        <v>42</v>
      </c>
      <c r="N387" t="s">
        <v>46</v>
      </c>
    </row>
    <row r="388" spans="1:14" x14ac:dyDescent="0.3">
      <c r="A388">
        <v>69841414</v>
      </c>
      <c r="B388" t="s">
        <v>456</v>
      </c>
      <c r="C388" t="s">
        <v>101</v>
      </c>
      <c r="D388" s="1">
        <v>45508</v>
      </c>
      <c r="E388">
        <v>4289</v>
      </c>
      <c r="F388" t="s">
        <v>39</v>
      </c>
      <c r="G388" t="s">
        <v>32</v>
      </c>
      <c r="H388" t="s">
        <v>40</v>
      </c>
      <c r="I388" t="s">
        <v>27</v>
      </c>
      <c r="J388" t="s">
        <v>57</v>
      </c>
      <c r="K388">
        <v>0</v>
      </c>
      <c r="L388">
        <v>33</v>
      </c>
      <c r="M388" t="s">
        <v>42</v>
      </c>
      <c r="N388" t="s">
        <v>59</v>
      </c>
    </row>
    <row r="389" spans="1:14" x14ac:dyDescent="0.3">
      <c r="A389">
        <v>43721608</v>
      </c>
      <c r="B389" t="s">
        <v>457</v>
      </c>
      <c r="C389" t="s">
        <v>101</v>
      </c>
      <c r="D389" s="1">
        <v>45433</v>
      </c>
      <c r="E389">
        <v>12409</v>
      </c>
      <c r="F389" t="s">
        <v>39</v>
      </c>
      <c r="G389" t="s">
        <v>55</v>
      </c>
      <c r="H389" t="s">
        <v>81</v>
      </c>
      <c r="I389" t="s">
        <v>27</v>
      </c>
      <c r="J389" t="s">
        <v>28</v>
      </c>
      <c r="K389">
        <v>0</v>
      </c>
      <c r="L389">
        <v>72</v>
      </c>
      <c r="M389" t="s">
        <v>42</v>
      </c>
      <c r="N389" t="s">
        <v>46</v>
      </c>
    </row>
    <row r="390" spans="1:14" x14ac:dyDescent="0.3">
      <c r="A390">
        <v>44514712</v>
      </c>
      <c r="B390" t="s">
        <v>458</v>
      </c>
      <c r="C390" t="s">
        <v>77</v>
      </c>
      <c r="D390" s="1">
        <v>45533</v>
      </c>
      <c r="E390">
        <v>17306</v>
      </c>
      <c r="F390" t="s">
        <v>16</v>
      </c>
      <c r="G390" t="s">
        <v>71</v>
      </c>
      <c r="H390" t="s">
        <v>33</v>
      </c>
      <c r="I390" t="s">
        <v>72</v>
      </c>
      <c r="J390" t="s">
        <v>20</v>
      </c>
      <c r="K390">
        <v>0</v>
      </c>
      <c r="L390">
        <v>44</v>
      </c>
      <c r="M390" t="s">
        <v>42</v>
      </c>
      <c r="N390" t="s">
        <v>73</v>
      </c>
    </row>
    <row r="391" spans="1:14" x14ac:dyDescent="0.3">
      <c r="A391">
        <v>53226199</v>
      </c>
      <c r="B391" t="s">
        <v>459</v>
      </c>
      <c r="C391" t="s">
        <v>70</v>
      </c>
      <c r="D391" s="1">
        <v>45337</v>
      </c>
      <c r="E391">
        <v>11905</v>
      </c>
      <c r="F391" t="s">
        <v>39</v>
      </c>
      <c r="G391" t="s">
        <v>17</v>
      </c>
      <c r="H391" t="s">
        <v>103</v>
      </c>
      <c r="I391" t="s">
        <v>34</v>
      </c>
      <c r="J391" t="s">
        <v>68</v>
      </c>
      <c r="K391">
        <v>0</v>
      </c>
      <c r="L391">
        <v>25</v>
      </c>
      <c r="M391" t="s">
        <v>42</v>
      </c>
      <c r="N391" t="s">
        <v>36</v>
      </c>
    </row>
    <row r="392" spans="1:14" x14ac:dyDescent="0.3">
      <c r="A392">
        <v>14489900</v>
      </c>
      <c r="B392" t="s">
        <v>460</v>
      </c>
      <c r="C392" t="s">
        <v>45</v>
      </c>
      <c r="D392" s="1">
        <v>45454</v>
      </c>
      <c r="E392">
        <v>1757</v>
      </c>
      <c r="F392" t="s">
        <v>39</v>
      </c>
      <c r="G392" t="s">
        <v>55</v>
      </c>
      <c r="H392" t="s">
        <v>46</v>
      </c>
      <c r="I392" t="s">
        <v>19</v>
      </c>
      <c r="J392" t="s">
        <v>85</v>
      </c>
      <c r="K392">
        <v>0</v>
      </c>
      <c r="L392">
        <v>22</v>
      </c>
      <c r="M392" t="s">
        <v>47</v>
      </c>
      <c r="N392" t="s">
        <v>46</v>
      </c>
    </row>
    <row r="393" spans="1:14" x14ac:dyDescent="0.3">
      <c r="A393">
        <v>94022226</v>
      </c>
      <c r="B393" t="s">
        <v>461</v>
      </c>
      <c r="C393" t="s">
        <v>38</v>
      </c>
      <c r="D393" s="1">
        <v>45320</v>
      </c>
      <c r="E393">
        <v>9753</v>
      </c>
      <c r="F393" t="s">
        <v>39</v>
      </c>
      <c r="G393" t="s">
        <v>71</v>
      </c>
      <c r="H393" t="s">
        <v>81</v>
      </c>
      <c r="I393" t="s">
        <v>19</v>
      </c>
      <c r="J393" t="s">
        <v>28</v>
      </c>
      <c r="K393">
        <v>0</v>
      </c>
      <c r="L393">
        <v>83</v>
      </c>
      <c r="M393" t="s">
        <v>47</v>
      </c>
      <c r="N393" t="s">
        <v>46</v>
      </c>
    </row>
    <row r="394" spans="1:14" x14ac:dyDescent="0.3">
      <c r="A394">
        <v>56889647</v>
      </c>
      <c r="B394" t="s">
        <v>462</v>
      </c>
      <c r="C394" t="s">
        <v>38</v>
      </c>
      <c r="D394" s="1">
        <v>45499</v>
      </c>
      <c r="E394">
        <v>1627</v>
      </c>
      <c r="F394" t="s">
        <v>16</v>
      </c>
      <c r="G394" t="s">
        <v>71</v>
      </c>
      <c r="H394" t="s">
        <v>56</v>
      </c>
      <c r="I394" t="s">
        <v>19</v>
      </c>
      <c r="J394" t="s">
        <v>52</v>
      </c>
      <c r="K394">
        <v>1</v>
      </c>
      <c r="L394">
        <v>78</v>
      </c>
      <c r="M394" t="s">
        <v>65</v>
      </c>
      <c r="N394" t="s">
        <v>73</v>
      </c>
    </row>
    <row r="395" spans="1:14" x14ac:dyDescent="0.3">
      <c r="A395">
        <v>46357457</v>
      </c>
      <c r="B395" t="s">
        <v>463</v>
      </c>
      <c r="C395" t="s">
        <v>45</v>
      </c>
      <c r="D395" s="1">
        <v>45554</v>
      </c>
      <c r="E395">
        <v>9255</v>
      </c>
      <c r="F395" t="s">
        <v>50</v>
      </c>
      <c r="G395" t="s">
        <v>32</v>
      </c>
      <c r="H395" t="s">
        <v>56</v>
      </c>
      <c r="I395" t="s">
        <v>19</v>
      </c>
      <c r="J395" t="s">
        <v>52</v>
      </c>
      <c r="K395">
        <v>1</v>
      </c>
      <c r="L395">
        <v>30</v>
      </c>
      <c r="M395" t="s">
        <v>65</v>
      </c>
      <c r="N395" t="s">
        <v>63</v>
      </c>
    </row>
    <row r="396" spans="1:14" x14ac:dyDescent="0.3">
      <c r="A396">
        <v>49423002</v>
      </c>
      <c r="B396" t="s">
        <v>464</v>
      </c>
      <c r="C396" t="s">
        <v>77</v>
      </c>
      <c r="D396" s="1">
        <v>45587</v>
      </c>
      <c r="E396">
        <v>17692</v>
      </c>
      <c r="F396" t="s">
        <v>50</v>
      </c>
      <c r="G396" t="s">
        <v>17</v>
      </c>
      <c r="H396" t="s">
        <v>56</v>
      </c>
      <c r="I396" t="s">
        <v>19</v>
      </c>
      <c r="J396" t="s">
        <v>85</v>
      </c>
      <c r="K396">
        <v>0</v>
      </c>
      <c r="L396">
        <v>90</v>
      </c>
      <c r="M396" t="s">
        <v>47</v>
      </c>
      <c r="N396" t="s">
        <v>46</v>
      </c>
    </row>
    <row r="397" spans="1:14" x14ac:dyDescent="0.3">
      <c r="A397">
        <v>92787297</v>
      </c>
      <c r="B397" t="s">
        <v>465</v>
      </c>
      <c r="C397" t="s">
        <v>77</v>
      </c>
      <c r="D397" s="1">
        <v>45581</v>
      </c>
      <c r="E397">
        <v>10177</v>
      </c>
      <c r="F397" t="s">
        <v>16</v>
      </c>
      <c r="G397" t="s">
        <v>17</v>
      </c>
      <c r="H397" t="s">
        <v>26</v>
      </c>
      <c r="I397" t="s">
        <v>72</v>
      </c>
      <c r="J397" t="s">
        <v>52</v>
      </c>
      <c r="K397">
        <v>0</v>
      </c>
      <c r="L397">
        <v>24</v>
      </c>
      <c r="M397" t="s">
        <v>65</v>
      </c>
      <c r="N397" t="s">
        <v>48</v>
      </c>
    </row>
    <row r="398" spans="1:14" x14ac:dyDescent="0.3">
      <c r="A398">
        <v>93410928</v>
      </c>
      <c r="B398" t="s">
        <v>466</v>
      </c>
      <c r="C398" t="s">
        <v>54</v>
      </c>
      <c r="D398" s="1">
        <v>45337</v>
      </c>
      <c r="E398">
        <v>916</v>
      </c>
      <c r="F398" t="s">
        <v>16</v>
      </c>
      <c r="G398" t="s">
        <v>32</v>
      </c>
      <c r="H398" t="s">
        <v>103</v>
      </c>
      <c r="I398" t="s">
        <v>19</v>
      </c>
      <c r="J398" t="s">
        <v>85</v>
      </c>
      <c r="K398">
        <v>0</v>
      </c>
      <c r="L398">
        <v>10</v>
      </c>
      <c r="M398" t="s">
        <v>47</v>
      </c>
      <c r="N398" t="s">
        <v>48</v>
      </c>
    </row>
    <row r="399" spans="1:14" x14ac:dyDescent="0.3">
      <c r="A399">
        <v>38843622</v>
      </c>
      <c r="B399" t="s">
        <v>467</v>
      </c>
      <c r="C399" t="s">
        <v>38</v>
      </c>
      <c r="D399" s="1">
        <v>45317</v>
      </c>
      <c r="E399">
        <v>4755</v>
      </c>
      <c r="F399" t="s">
        <v>61</v>
      </c>
      <c r="G399" t="s">
        <v>71</v>
      </c>
      <c r="H399" t="s">
        <v>56</v>
      </c>
      <c r="I399" t="s">
        <v>72</v>
      </c>
      <c r="J399" t="s">
        <v>52</v>
      </c>
      <c r="K399">
        <v>0</v>
      </c>
      <c r="L399">
        <v>21</v>
      </c>
      <c r="M399" t="s">
        <v>47</v>
      </c>
      <c r="N399" t="s">
        <v>48</v>
      </c>
    </row>
    <row r="400" spans="1:14" x14ac:dyDescent="0.3">
      <c r="A400">
        <v>81433034</v>
      </c>
      <c r="B400" t="s">
        <v>468</v>
      </c>
      <c r="C400" t="s">
        <v>70</v>
      </c>
      <c r="D400" s="1">
        <v>45494</v>
      </c>
      <c r="E400">
        <v>22084</v>
      </c>
      <c r="F400" t="s">
        <v>39</v>
      </c>
      <c r="G400" t="s">
        <v>32</v>
      </c>
      <c r="H400" t="s">
        <v>103</v>
      </c>
      <c r="I400" t="s">
        <v>72</v>
      </c>
      <c r="J400" t="s">
        <v>57</v>
      </c>
      <c r="K400">
        <v>0</v>
      </c>
      <c r="L400">
        <v>17</v>
      </c>
      <c r="M400" t="s">
        <v>47</v>
      </c>
      <c r="N400" t="s">
        <v>22</v>
      </c>
    </row>
    <row r="401" spans="1:14" x14ac:dyDescent="0.3">
      <c r="A401">
        <v>25987494</v>
      </c>
      <c r="B401" t="s">
        <v>469</v>
      </c>
      <c r="C401" t="s">
        <v>31</v>
      </c>
      <c r="D401" s="1">
        <v>45409</v>
      </c>
      <c r="E401">
        <v>3113</v>
      </c>
      <c r="F401" t="s">
        <v>16</v>
      </c>
      <c r="G401" t="s">
        <v>32</v>
      </c>
      <c r="H401" t="s">
        <v>18</v>
      </c>
      <c r="I401" t="s">
        <v>27</v>
      </c>
      <c r="J401" t="s">
        <v>28</v>
      </c>
      <c r="K401">
        <v>0</v>
      </c>
      <c r="L401">
        <v>76</v>
      </c>
      <c r="M401" t="s">
        <v>58</v>
      </c>
      <c r="N401" t="s">
        <v>63</v>
      </c>
    </row>
    <row r="402" spans="1:14" x14ac:dyDescent="0.3">
      <c r="A402">
        <v>53984717</v>
      </c>
      <c r="B402" t="s">
        <v>470</v>
      </c>
      <c r="C402" t="s">
        <v>45</v>
      </c>
      <c r="D402" s="1">
        <v>45584</v>
      </c>
      <c r="E402">
        <v>22063</v>
      </c>
      <c r="F402" t="s">
        <v>16</v>
      </c>
      <c r="G402" t="s">
        <v>71</v>
      </c>
      <c r="H402" t="s">
        <v>46</v>
      </c>
      <c r="I402" t="s">
        <v>72</v>
      </c>
      <c r="J402" t="s">
        <v>68</v>
      </c>
      <c r="K402">
        <v>0</v>
      </c>
      <c r="L402">
        <v>12</v>
      </c>
      <c r="M402" t="s">
        <v>47</v>
      </c>
      <c r="N402" t="s">
        <v>43</v>
      </c>
    </row>
    <row r="403" spans="1:14" x14ac:dyDescent="0.3">
      <c r="A403">
        <v>43253338</v>
      </c>
      <c r="B403" t="s">
        <v>471</v>
      </c>
      <c r="C403" t="s">
        <v>54</v>
      </c>
      <c r="D403" s="1">
        <v>45473</v>
      </c>
      <c r="E403">
        <v>235</v>
      </c>
      <c r="F403" t="s">
        <v>39</v>
      </c>
      <c r="G403" t="s">
        <v>71</v>
      </c>
      <c r="H403" t="s">
        <v>56</v>
      </c>
      <c r="I403" t="s">
        <v>72</v>
      </c>
      <c r="J403" t="s">
        <v>20</v>
      </c>
      <c r="K403">
        <v>0</v>
      </c>
      <c r="L403">
        <v>46</v>
      </c>
      <c r="M403" t="s">
        <v>58</v>
      </c>
      <c r="N403" t="s">
        <v>87</v>
      </c>
    </row>
    <row r="404" spans="1:14" x14ac:dyDescent="0.3">
      <c r="A404">
        <v>24723763</v>
      </c>
      <c r="B404" t="s">
        <v>472</v>
      </c>
      <c r="C404" t="s">
        <v>75</v>
      </c>
      <c r="D404" s="1">
        <v>45411</v>
      </c>
      <c r="E404">
        <v>13100</v>
      </c>
      <c r="F404" t="s">
        <v>61</v>
      </c>
      <c r="G404" t="s">
        <v>32</v>
      </c>
      <c r="H404" t="s">
        <v>40</v>
      </c>
      <c r="I404" t="s">
        <v>72</v>
      </c>
      <c r="J404" t="s">
        <v>79</v>
      </c>
      <c r="K404">
        <v>0</v>
      </c>
      <c r="L404">
        <v>29</v>
      </c>
      <c r="M404" t="s">
        <v>47</v>
      </c>
      <c r="N404" t="s">
        <v>63</v>
      </c>
    </row>
    <row r="405" spans="1:14" x14ac:dyDescent="0.3">
      <c r="A405">
        <v>70605670</v>
      </c>
      <c r="B405" t="s">
        <v>473</v>
      </c>
      <c r="C405" t="s">
        <v>31</v>
      </c>
      <c r="D405" s="1">
        <v>45303</v>
      </c>
      <c r="E405">
        <v>18610</v>
      </c>
      <c r="F405" t="s">
        <v>61</v>
      </c>
      <c r="G405" t="s">
        <v>32</v>
      </c>
      <c r="H405" t="s">
        <v>46</v>
      </c>
      <c r="I405" t="s">
        <v>34</v>
      </c>
      <c r="J405" t="s">
        <v>52</v>
      </c>
      <c r="K405">
        <v>0</v>
      </c>
      <c r="L405">
        <v>18</v>
      </c>
      <c r="M405" t="s">
        <v>21</v>
      </c>
      <c r="N405" t="s">
        <v>36</v>
      </c>
    </row>
    <row r="406" spans="1:14" x14ac:dyDescent="0.3">
      <c r="A406">
        <v>50905060</v>
      </c>
      <c r="B406" t="s">
        <v>474</v>
      </c>
      <c r="C406" t="s">
        <v>15</v>
      </c>
      <c r="D406" s="1">
        <v>45530</v>
      </c>
      <c r="E406">
        <v>16231</v>
      </c>
      <c r="F406" t="s">
        <v>16</v>
      </c>
      <c r="G406" t="s">
        <v>17</v>
      </c>
      <c r="H406" t="s">
        <v>51</v>
      </c>
      <c r="I406" t="s">
        <v>19</v>
      </c>
      <c r="J406" t="s">
        <v>41</v>
      </c>
      <c r="K406">
        <v>0</v>
      </c>
      <c r="L406">
        <v>78</v>
      </c>
      <c r="M406" t="s">
        <v>58</v>
      </c>
      <c r="N406" t="s">
        <v>48</v>
      </c>
    </row>
    <row r="407" spans="1:14" x14ac:dyDescent="0.3">
      <c r="A407">
        <v>45638628</v>
      </c>
      <c r="B407" t="s">
        <v>475</v>
      </c>
      <c r="C407" t="s">
        <v>38</v>
      </c>
      <c r="D407" s="1">
        <v>45329</v>
      </c>
      <c r="E407">
        <v>11914</v>
      </c>
      <c r="F407" t="s">
        <v>61</v>
      </c>
      <c r="G407" t="s">
        <v>25</v>
      </c>
      <c r="H407" t="s">
        <v>51</v>
      </c>
      <c r="I407" t="s">
        <v>27</v>
      </c>
      <c r="J407" t="s">
        <v>20</v>
      </c>
      <c r="K407">
        <v>0</v>
      </c>
      <c r="L407">
        <v>43</v>
      </c>
      <c r="M407" t="s">
        <v>65</v>
      </c>
      <c r="N407" t="s">
        <v>46</v>
      </c>
    </row>
    <row r="408" spans="1:14" x14ac:dyDescent="0.3">
      <c r="A408">
        <v>45060895</v>
      </c>
      <c r="B408" t="s">
        <v>476</v>
      </c>
      <c r="C408" t="s">
        <v>45</v>
      </c>
      <c r="D408" s="1">
        <v>45289</v>
      </c>
      <c r="E408">
        <v>15367</v>
      </c>
      <c r="F408" t="s">
        <v>50</v>
      </c>
      <c r="G408" t="s">
        <v>71</v>
      </c>
      <c r="H408" t="s">
        <v>26</v>
      </c>
      <c r="I408" t="s">
        <v>72</v>
      </c>
      <c r="J408" t="s">
        <v>35</v>
      </c>
      <c r="K408">
        <v>0</v>
      </c>
      <c r="L408">
        <v>89</v>
      </c>
      <c r="M408" t="s">
        <v>21</v>
      </c>
      <c r="N408" t="s">
        <v>48</v>
      </c>
    </row>
    <row r="409" spans="1:14" x14ac:dyDescent="0.3">
      <c r="A409">
        <v>47480125</v>
      </c>
      <c r="B409" t="s">
        <v>477</v>
      </c>
      <c r="C409" t="s">
        <v>101</v>
      </c>
      <c r="D409" s="1">
        <v>45348</v>
      </c>
      <c r="E409">
        <v>3411</v>
      </c>
      <c r="F409" t="s">
        <v>16</v>
      </c>
      <c r="G409" t="s">
        <v>17</v>
      </c>
      <c r="H409" t="s">
        <v>40</v>
      </c>
      <c r="I409" t="s">
        <v>34</v>
      </c>
      <c r="J409" t="s">
        <v>52</v>
      </c>
      <c r="K409">
        <v>0</v>
      </c>
      <c r="L409">
        <v>71</v>
      </c>
      <c r="M409" t="s">
        <v>65</v>
      </c>
      <c r="N409" t="s">
        <v>36</v>
      </c>
    </row>
    <row r="410" spans="1:14" x14ac:dyDescent="0.3">
      <c r="A410">
        <v>99532153</v>
      </c>
      <c r="B410" t="s">
        <v>478</v>
      </c>
      <c r="C410" t="s">
        <v>24</v>
      </c>
      <c r="D410" s="1">
        <v>45638</v>
      </c>
      <c r="E410">
        <v>21273</v>
      </c>
      <c r="F410" t="s">
        <v>50</v>
      </c>
      <c r="G410" t="s">
        <v>17</v>
      </c>
      <c r="H410" t="s">
        <v>56</v>
      </c>
      <c r="I410" t="s">
        <v>72</v>
      </c>
      <c r="J410" t="s">
        <v>52</v>
      </c>
      <c r="K410">
        <v>0</v>
      </c>
      <c r="L410">
        <v>59</v>
      </c>
      <c r="M410" t="s">
        <v>42</v>
      </c>
      <c r="N410" t="s">
        <v>73</v>
      </c>
    </row>
    <row r="411" spans="1:14" x14ac:dyDescent="0.3">
      <c r="A411">
        <v>87782801</v>
      </c>
      <c r="B411" t="s">
        <v>479</v>
      </c>
      <c r="C411" t="s">
        <v>24</v>
      </c>
      <c r="D411" s="1">
        <v>45359</v>
      </c>
      <c r="E411">
        <v>14489</v>
      </c>
      <c r="F411" t="s">
        <v>16</v>
      </c>
      <c r="G411" t="s">
        <v>17</v>
      </c>
      <c r="H411" t="s">
        <v>18</v>
      </c>
      <c r="I411" t="s">
        <v>34</v>
      </c>
      <c r="J411" t="s">
        <v>20</v>
      </c>
      <c r="K411">
        <v>0</v>
      </c>
      <c r="L411">
        <v>58</v>
      </c>
      <c r="M411" t="s">
        <v>58</v>
      </c>
      <c r="N411" t="s">
        <v>89</v>
      </c>
    </row>
    <row r="412" spans="1:14" x14ac:dyDescent="0.3">
      <c r="A412">
        <v>73018484</v>
      </c>
      <c r="B412" t="s">
        <v>480</v>
      </c>
      <c r="C412" t="s">
        <v>31</v>
      </c>
      <c r="D412" s="1">
        <v>45507</v>
      </c>
      <c r="E412">
        <v>18326</v>
      </c>
      <c r="F412" t="s">
        <v>39</v>
      </c>
      <c r="G412" t="s">
        <v>32</v>
      </c>
      <c r="H412" t="s">
        <v>62</v>
      </c>
      <c r="I412" t="s">
        <v>19</v>
      </c>
      <c r="J412" t="s">
        <v>35</v>
      </c>
      <c r="K412">
        <v>0</v>
      </c>
      <c r="L412">
        <v>25</v>
      </c>
      <c r="M412" t="s">
        <v>47</v>
      </c>
      <c r="N412" t="s">
        <v>48</v>
      </c>
    </row>
    <row r="413" spans="1:14" x14ac:dyDescent="0.3">
      <c r="A413">
        <v>53876396</v>
      </c>
      <c r="B413" t="s">
        <v>481</v>
      </c>
      <c r="C413" t="s">
        <v>75</v>
      </c>
      <c r="D413" s="1">
        <v>45637</v>
      </c>
      <c r="E413">
        <v>655</v>
      </c>
      <c r="F413" t="s">
        <v>61</v>
      </c>
      <c r="G413" t="s">
        <v>71</v>
      </c>
      <c r="H413" t="s">
        <v>103</v>
      </c>
      <c r="I413" t="s">
        <v>34</v>
      </c>
      <c r="J413" t="s">
        <v>57</v>
      </c>
      <c r="K413">
        <v>0</v>
      </c>
      <c r="L413">
        <v>57</v>
      </c>
      <c r="M413" t="s">
        <v>29</v>
      </c>
      <c r="N413" t="s">
        <v>36</v>
      </c>
    </row>
    <row r="414" spans="1:14" x14ac:dyDescent="0.3">
      <c r="A414">
        <v>62949794</v>
      </c>
      <c r="B414" t="s">
        <v>482</v>
      </c>
      <c r="C414" t="s">
        <v>101</v>
      </c>
      <c r="D414" s="1">
        <v>45545</v>
      </c>
      <c r="E414">
        <v>10045</v>
      </c>
      <c r="F414" t="s">
        <v>39</v>
      </c>
      <c r="G414" t="s">
        <v>25</v>
      </c>
      <c r="H414" t="s">
        <v>26</v>
      </c>
      <c r="I414" t="s">
        <v>72</v>
      </c>
      <c r="J414" t="s">
        <v>85</v>
      </c>
      <c r="K414">
        <v>0</v>
      </c>
      <c r="L414">
        <v>85</v>
      </c>
      <c r="M414" t="s">
        <v>58</v>
      </c>
      <c r="N414" t="s">
        <v>48</v>
      </c>
    </row>
    <row r="415" spans="1:14" x14ac:dyDescent="0.3">
      <c r="A415">
        <v>62765558</v>
      </c>
      <c r="B415" t="s">
        <v>483</v>
      </c>
      <c r="C415" t="s">
        <v>75</v>
      </c>
      <c r="D415" s="1">
        <v>45624</v>
      </c>
      <c r="E415">
        <v>9046</v>
      </c>
      <c r="F415" t="s">
        <v>16</v>
      </c>
      <c r="G415" t="s">
        <v>55</v>
      </c>
      <c r="H415" t="s">
        <v>103</v>
      </c>
      <c r="I415" t="s">
        <v>72</v>
      </c>
      <c r="J415" t="s">
        <v>52</v>
      </c>
      <c r="K415">
        <v>0</v>
      </c>
      <c r="L415">
        <v>41</v>
      </c>
      <c r="M415" t="s">
        <v>47</v>
      </c>
      <c r="N415" t="s">
        <v>59</v>
      </c>
    </row>
    <row r="416" spans="1:14" x14ac:dyDescent="0.3">
      <c r="A416">
        <v>73757884</v>
      </c>
      <c r="B416" t="s">
        <v>484</v>
      </c>
      <c r="C416" t="s">
        <v>77</v>
      </c>
      <c r="D416" s="1">
        <v>45614</v>
      </c>
      <c r="E416">
        <v>24940</v>
      </c>
      <c r="F416" t="s">
        <v>61</v>
      </c>
      <c r="G416" t="s">
        <v>71</v>
      </c>
      <c r="H416" t="s">
        <v>56</v>
      </c>
      <c r="I416" t="s">
        <v>72</v>
      </c>
      <c r="J416" t="s">
        <v>85</v>
      </c>
      <c r="K416">
        <v>1</v>
      </c>
      <c r="L416">
        <v>34</v>
      </c>
      <c r="M416" t="s">
        <v>21</v>
      </c>
      <c r="N416" t="s">
        <v>48</v>
      </c>
    </row>
    <row r="417" spans="1:14" x14ac:dyDescent="0.3">
      <c r="A417">
        <v>89464402</v>
      </c>
      <c r="B417" t="s">
        <v>485</v>
      </c>
      <c r="C417" t="s">
        <v>101</v>
      </c>
      <c r="D417" s="1">
        <v>45328</v>
      </c>
      <c r="E417">
        <v>3916</v>
      </c>
      <c r="F417" t="s">
        <v>39</v>
      </c>
      <c r="G417" t="s">
        <v>32</v>
      </c>
      <c r="H417" t="s">
        <v>46</v>
      </c>
      <c r="I417" t="s">
        <v>27</v>
      </c>
      <c r="J417" t="s">
        <v>28</v>
      </c>
      <c r="K417">
        <v>1</v>
      </c>
      <c r="L417">
        <v>61</v>
      </c>
      <c r="M417" t="s">
        <v>47</v>
      </c>
      <c r="N417" t="s">
        <v>48</v>
      </c>
    </row>
    <row r="418" spans="1:14" x14ac:dyDescent="0.3">
      <c r="A418">
        <v>19697885</v>
      </c>
      <c r="B418" t="s">
        <v>486</v>
      </c>
      <c r="C418" t="s">
        <v>45</v>
      </c>
      <c r="D418" s="1">
        <v>45354</v>
      </c>
      <c r="E418">
        <v>20757</v>
      </c>
      <c r="F418" t="s">
        <v>39</v>
      </c>
      <c r="G418" t="s">
        <v>25</v>
      </c>
      <c r="H418" t="s">
        <v>103</v>
      </c>
      <c r="I418" t="s">
        <v>19</v>
      </c>
      <c r="J418" t="s">
        <v>28</v>
      </c>
      <c r="K418">
        <v>0</v>
      </c>
      <c r="L418">
        <v>91</v>
      </c>
      <c r="M418" t="s">
        <v>42</v>
      </c>
      <c r="N418" t="s">
        <v>46</v>
      </c>
    </row>
    <row r="419" spans="1:14" x14ac:dyDescent="0.3">
      <c r="A419">
        <v>20922156</v>
      </c>
      <c r="B419" t="s">
        <v>487</v>
      </c>
      <c r="C419" t="s">
        <v>31</v>
      </c>
      <c r="D419" s="1">
        <v>45312</v>
      </c>
      <c r="E419">
        <v>20230</v>
      </c>
      <c r="F419" t="s">
        <v>50</v>
      </c>
      <c r="G419" t="s">
        <v>32</v>
      </c>
      <c r="H419" t="s">
        <v>18</v>
      </c>
      <c r="I419" t="s">
        <v>72</v>
      </c>
      <c r="J419" t="s">
        <v>35</v>
      </c>
      <c r="K419">
        <v>1</v>
      </c>
      <c r="L419">
        <v>38</v>
      </c>
      <c r="M419" t="s">
        <v>58</v>
      </c>
      <c r="N419" t="s">
        <v>46</v>
      </c>
    </row>
    <row r="420" spans="1:14" x14ac:dyDescent="0.3">
      <c r="A420">
        <v>74867110</v>
      </c>
      <c r="B420" t="s">
        <v>488</v>
      </c>
      <c r="C420" t="s">
        <v>54</v>
      </c>
      <c r="D420" s="1">
        <v>45498</v>
      </c>
      <c r="E420">
        <v>1106</v>
      </c>
      <c r="F420" t="s">
        <v>39</v>
      </c>
      <c r="G420" t="s">
        <v>25</v>
      </c>
      <c r="H420" t="s">
        <v>26</v>
      </c>
      <c r="I420" t="s">
        <v>72</v>
      </c>
      <c r="J420" t="s">
        <v>85</v>
      </c>
      <c r="K420">
        <v>1</v>
      </c>
      <c r="L420">
        <v>16</v>
      </c>
      <c r="M420" t="s">
        <v>47</v>
      </c>
      <c r="N420" t="s">
        <v>48</v>
      </c>
    </row>
    <row r="421" spans="1:14" x14ac:dyDescent="0.3">
      <c r="A421">
        <v>37955374</v>
      </c>
      <c r="B421" t="s">
        <v>489</v>
      </c>
      <c r="C421" t="s">
        <v>15</v>
      </c>
      <c r="D421" s="1">
        <v>45279</v>
      </c>
      <c r="E421">
        <v>4656</v>
      </c>
      <c r="F421" t="s">
        <v>61</v>
      </c>
      <c r="G421" t="s">
        <v>71</v>
      </c>
      <c r="H421" t="s">
        <v>62</v>
      </c>
      <c r="I421" t="s">
        <v>34</v>
      </c>
      <c r="J421" t="s">
        <v>68</v>
      </c>
      <c r="K421">
        <v>0</v>
      </c>
      <c r="L421">
        <v>58</v>
      </c>
      <c r="M421" t="s">
        <v>29</v>
      </c>
      <c r="N421" t="s">
        <v>36</v>
      </c>
    </row>
    <row r="422" spans="1:14" x14ac:dyDescent="0.3">
      <c r="A422">
        <v>95084386</v>
      </c>
      <c r="B422" t="s">
        <v>490</v>
      </c>
      <c r="C422" t="s">
        <v>15</v>
      </c>
      <c r="D422" s="1">
        <v>45470</v>
      </c>
      <c r="E422">
        <v>5037</v>
      </c>
      <c r="F422" t="s">
        <v>39</v>
      </c>
      <c r="G422" t="s">
        <v>55</v>
      </c>
      <c r="H422" t="s">
        <v>40</v>
      </c>
      <c r="I422" t="s">
        <v>27</v>
      </c>
      <c r="J422" t="s">
        <v>68</v>
      </c>
      <c r="K422">
        <v>0</v>
      </c>
      <c r="L422">
        <v>62</v>
      </c>
      <c r="M422" t="s">
        <v>29</v>
      </c>
      <c r="N422" t="s">
        <v>59</v>
      </c>
    </row>
    <row r="423" spans="1:14" x14ac:dyDescent="0.3">
      <c r="A423">
        <v>92338799</v>
      </c>
      <c r="B423" t="s">
        <v>491</v>
      </c>
      <c r="C423" t="s">
        <v>75</v>
      </c>
      <c r="D423" s="1">
        <v>45460</v>
      </c>
      <c r="E423">
        <v>23119</v>
      </c>
      <c r="F423" t="s">
        <v>39</v>
      </c>
      <c r="G423" t="s">
        <v>32</v>
      </c>
      <c r="H423" t="s">
        <v>33</v>
      </c>
      <c r="I423" t="s">
        <v>34</v>
      </c>
      <c r="J423" t="s">
        <v>41</v>
      </c>
      <c r="K423">
        <v>1</v>
      </c>
      <c r="L423">
        <v>90</v>
      </c>
      <c r="M423" t="s">
        <v>42</v>
      </c>
      <c r="N423" t="s">
        <v>46</v>
      </c>
    </row>
    <row r="424" spans="1:14" x14ac:dyDescent="0.3">
      <c r="A424">
        <v>84805756</v>
      </c>
      <c r="B424" t="s">
        <v>492</v>
      </c>
      <c r="C424" t="s">
        <v>101</v>
      </c>
      <c r="D424" s="1">
        <v>45626</v>
      </c>
      <c r="E424">
        <v>11365</v>
      </c>
      <c r="F424" t="s">
        <v>39</v>
      </c>
      <c r="G424" t="s">
        <v>25</v>
      </c>
      <c r="H424" t="s">
        <v>62</v>
      </c>
      <c r="I424" t="s">
        <v>72</v>
      </c>
      <c r="J424" t="s">
        <v>20</v>
      </c>
      <c r="K424">
        <v>1</v>
      </c>
      <c r="L424">
        <v>91</v>
      </c>
      <c r="M424" t="s">
        <v>21</v>
      </c>
      <c r="N424" t="s">
        <v>22</v>
      </c>
    </row>
    <row r="425" spans="1:14" x14ac:dyDescent="0.3">
      <c r="A425">
        <v>71782835</v>
      </c>
      <c r="B425" t="s">
        <v>493</v>
      </c>
      <c r="C425" t="s">
        <v>45</v>
      </c>
      <c r="D425" s="1">
        <v>45308</v>
      </c>
      <c r="E425">
        <v>13339</v>
      </c>
      <c r="F425" t="s">
        <v>16</v>
      </c>
      <c r="G425" t="s">
        <v>25</v>
      </c>
      <c r="H425" t="s">
        <v>40</v>
      </c>
      <c r="I425" t="s">
        <v>27</v>
      </c>
      <c r="J425" t="s">
        <v>41</v>
      </c>
      <c r="K425">
        <v>0</v>
      </c>
      <c r="L425">
        <v>61</v>
      </c>
      <c r="M425" t="s">
        <v>47</v>
      </c>
      <c r="N425" t="s">
        <v>63</v>
      </c>
    </row>
    <row r="426" spans="1:14" x14ac:dyDescent="0.3">
      <c r="A426">
        <v>94837108</v>
      </c>
      <c r="B426" t="s">
        <v>494</v>
      </c>
      <c r="C426" t="s">
        <v>38</v>
      </c>
      <c r="D426" s="1">
        <v>45576</v>
      </c>
      <c r="E426">
        <v>7483</v>
      </c>
      <c r="F426" t="s">
        <v>39</v>
      </c>
      <c r="G426" t="s">
        <v>55</v>
      </c>
      <c r="H426" t="s">
        <v>46</v>
      </c>
      <c r="I426" t="s">
        <v>27</v>
      </c>
      <c r="J426" t="s">
        <v>52</v>
      </c>
      <c r="K426">
        <v>1</v>
      </c>
      <c r="L426">
        <v>22</v>
      </c>
      <c r="M426" t="s">
        <v>21</v>
      </c>
      <c r="N426" t="s">
        <v>63</v>
      </c>
    </row>
    <row r="427" spans="1:14" x14ac:dyDescent="0.3">
      <c r="A427">
        <v>72503759</v>
      </c>
      <c r="B427" t="s">
        <v>495</v>
      </c>
      <c r="C427" t="s">
        <v>31</v>
      </c>
      <c r="D427" s="1">
        <v>45473</v>
      </c>
      <c r="E427">
        <v>1818</v>
      </c>
      <c r="F427" t="s">
        <v>61</v>
      </c>
      <c r="G427" t="s">
        <v>25</v>
      </c>
      <c r="H427" t="s">
        <v>46</v>
      </c>
      <c r="I427" t="s">
        <v>27</v>
      </c>
      <c r="J427" t="s">
        <v>68</v>
      </c>
      <c r="K427">
        <v>0</v>
      </c>
      <c r="L427">
        <v>25</v>
      </c>
      <c r="M427" t="s">
        <v>47</v>
      </c>
      <c r="N427" t="s">
        <v>43</v>
      </c>
    </row>
    <row r="428" spans="1:14" x14ac:dyDescent="0.3">
      <c r="A428">
        <v>62603159</v>
      </c>
      <c r="B428" t="s">
        <v>496</v>
      </c>
      <c r="C428" t="s">
        <v>38</v>
      </c>
      <c r="D428" s="1">
        <v>45457</v>
      </c>
      <c r="E428">
        <v>14900</v>
      </c>
      <c r="F428" t="s">
        <v>39</v>
      </c>
      <c r="G428" t="s">
        <v>25</v>
      </c>
      <c r="H428" t="s">
        <v>51</v>
      </c>
      <c r="I428" t="s">
        <v>72</v>
      </c>
      <c r="J428" t="s">
        <v>68</v>
      </c>
      <c r="K428">
        <v>1</v>
      </c>
      <c r="L428">
        <v>91</v>
      </c>
      <c r="M428" t="s">
        <v>58</v>
      </c>
      <c r="N428" t="s">
        <v>46</v>
      </c>
    </row>
    <row r="429" spans="1:14" x14ac:dyDescent="0.3">
      <c r="A429">
        <v>18332343</v>
      </c>
      <c r="B429" t="s">
        <v>497</v>
      </c>
      <c r="C429" t="s">
        <v>75</v>
      </c>
      <c r="D429" s="1">
        <v>45329</v>
      </c>
      <c r="E429">
        <v>1299</v>
      </c>
      <c r="F429" t="s">
        <v>39</v>
      </c>
      <c r="G429" t="s">
        <v>55</v>
      </c>
      <c r="H429" t="s">
        <v>56</v>
      </c>
      <c r="I429" t="s">
        <v>72</v>
      </c>
      <c r="J429" t="s">
        <v>52</v>
      </c>
      <c r="K429">
        <v>0</v>
      </c>
      <c r="L429">
        <v>93</v>
      </c>
      <c r="M429" t="s">
        <v>29</v>
      </c>
      <c r="N429" t="s">
        <v>46</v>
      </c>
    </row>
    <row r="430" spans="1:14" x14ac:dyDescent="0.3">
      <c r="A430">
        <v>58536811</v>
      </c>
      <c r="B430" t="s">
        <v>498</v>
      </c>
      <c r="C430" t="s">
        <v>77</v>
      </c>
      <c r="D430" s="1">
        <v>45483</v>
      </c>
      <c r="E430">
        <v>3410</v>
      </c>
      <c r="F430" t="s">
        <v>61</v>
      </c>
      <c r="G430" t="s">
        <v>25</v>
      </c>
      <c r="H430" t="s">
        <v>103</v>
      </c>
      <c r="I430" t="s">
        <v>34</v>
      </c>
      <c r="J430" t="s">
        <v>68</v>
      </c>
      <c r="K430">
        <v>1</v>
      </c>
      <c r="L430">
        <v>94</v>
      </c>
      <c r="M430" t="s">
        <v>47</v>
      </c>
      <c r="N430" t="s">
        <v>89</v>
      </c>
    </row>
    <row r="431" spans="1:14" x14ac:dyDescent="0.3">
      <c r="A431">
        <v>76186197</v>
      </c>
      <c r="B431" t="s">
        <v>499</v>
      </c>
      <c r="C431" t="s">
        <v>70</v>
      </c>
      <c r="D431" s="1">
        <v>45502</v>
      </c>
      <c r="E431">
        <v>10406</v>
      </c>
      <c r="F431" t="s">
        <v>16</v>
      </c>
      <c r="G431" t="s">
        <v>32</v>
      </c>
      <c r="H431" t="s">
        <v>56</v>
      </c>
      <c r="I431" t="s">
        <v>19</v>
      </c>
      <c r="J431" t="s">
        <v>28</v>
      </c>
      <c r="K431">
        <v>1</v>
      </c>
      <c r="L431">
        <v>54</v>
      </c>
      <c r="M431" t="s">
        <v>21</v>
      </c>
      <c r="N431" t="s">
        <v>43</v>
      </c>
    </row>
    <row r="432" spans="1:14" x14ac:dyDescent="0.3">
      <c r="A432">
        <v>49535365</v>
      </c>
      <c r="B432" t="s">
        <v>500</v>
      </c>
      <c r="C432" t="s">
        <v>75</v>
      </c>
      <c r="D432" s="1">
        <v>45344</v>
      </c>
      <c r="E432">
        <v>10916</v>
      </c>
      <c r="F432" t="s">
        <v>61</v>
      </c>
      <c r="G432" t="s">
        <v>55</v>
      </c>
      <c r="H432" t="s">
        <v>46</v>
      </c>
      <c r="I432" t="s">
        <v>34</v>
      </c>
      <c r="J432" t="s">
        <v>20</v>
      </c>
      <c r="K432">
        <v>1</v>
      </c>
      <c r="L432">
        <v>50</v>
      </c>
      <c r="M432" t="s">
        <v>47</v>
      </c>
      <c r="N432" t="s">
        <v>73</v>
      </c>
    </row>
    <row r="433" spans="1:14" x14ac:dyDescent="0.3">
      <c r="A433">
        <v>26518441</v>
      </c>
      <c r="B433" t="s">
        <v>501</v>
      </c>
      <c r="C433" t="s">
        <v>75</v>
      </c>
      <c r="D433" s="1">
        <v>45523</v>
      </c>
      <c r="E433">
        <v>3797</v>
      </c>
      <c r="F433" t="s">
        <v>50</v>
      </c>
      <c r="G433" t="s">
        <v>71</v>
      </c>
      <c r="H433" t="s">
        <v>103</v>
      </c>
      <c r="I433" t="s">
        <v>19</v>
      </c>
      <c r="J433" t="s">
        <v>85</v>
      </c>
      <c r="K433">
        <v>0</v>
      </c>
      <c r="L433">
        <v>20</v>
      </c>
      <c r="M433" t="s">
        <v>65</v>
      </c>
      <c r="N433" t="s">
        <v>87</v>
      </c>
    </row>
    <row r="434" spans="1:14" x14ac:dyDescent="0.3">
      <c r="A434">
        <v>40346573</v>
      </c>
      <c r="B434" t="s">
        <v>502</v>
      </c>
      <c r="C434" t="s">
        <v>101</v>
      </c>
      <c r="D434" s="1">
        <v>45440</v>
      </c>
      <c r="E434">
        <v>14199</v>
      </c>
      <c r="F434" t="s">
        <v>61</v>
      </c>
      <c r="G434" t="s">
        <v>17</v>
      </c>
      <c r="H434" t="s">
        <v>46</v>
      </c>
      <c r="I434" t="s">
        <v>19</v>
      </c>
      <c r="J434" t="s">
        <v>79</v>
      </c>
      <c r="K434">
        <v>0</v>
      </c>
      <c r="L434">
        <v>61</v>
      </c>
      <c r="M434" t="s">
        <v>29</v>
      </c>
      <c r="N434" t="s">
        <v>89</v>
      </c>
    </row>
    <row r="435" spans="1:14" x14ac:dyDescent="0.3">
      <c r="A435">
        <v>31372090</v>
      </c>
      <c r="B435" t="s">
        <v>503</v>
      </c>
      <c r="C435" t="s">
        <v>54</v>
      </c>
      <c r="D435" s="1">
        <v>45607</v>
      </c>
      <c r="E435">
        <v>9648</v>
      </c>
      <c r="F435" t="s">
        <v>39</v>
      </c>
      <c r="G435" t="s">
        <v>71</v>
      </c>
      <c r="H435" t="s">
        <v>33</v>
      </c>
      <c r="I435" t="s">
        <v>19</v>
      </c>
      <c r="J435" t="s">
        <v>85</v>
      </c>
      <c r="K435">
        <v>0</v>
      </c>
      <c r="L435">
        <v>62</v>
      </c>
      <c r="M435" t="s">
        <v>47</v>
      </c>
      <c r="N435" t="s">
        <v>43</v>
      </c>
    </row>
    <row r="436" spans="1:14" x14ac:dyDescent="0.3">
      <c r="A436">
        <v>57805332</v>
      </c>
      <c r="B436" t="s">
        <v>504</v>
      </c>
      <c r="C436" t="s">
        <v>38</v>
      </c>
      <c r="D436" s="1">
        <v>45475</v>
      </c>
      <c r="E436">
        <v>18915</v>
      </c>
      <c r="F436" t="s">
        <v>61</v>
      </c>
      <c r="G436" t="s">
        <v>71</v>
      </c>
      <c r="H436" t="s">
        <v>51</v>
      </c>
      <c r="I436" t="s">
        <v>34</v>
      </c>
      <c r="J436" t="s">
        <v>20</v>
      </c>
      <c r="K436">
        <v>0</v>
      </c>
      <c r="L436">
        <v>90</v>
      </c>
      <c r="M436" t="s">
        <v>47</v>
      </c>
      <c r="N436" t="s">
        <v>73</v>
      </c>
    </row>
    <row r="437" spans="1:14" x14ac:dyDescent="0.3">
      <c r="A437">
        <v>90783209</v>
      </c>
      <c r="B437" t="s">
        <v>505</v>
      </c>
      <c r="C437" t="s">
        <v>101</v>
      </c>
      <c r="D437" s="1">
        <v>45385</v>
      </c>
      <c r="E437">
        <v>7274</v>
      </c>
      <c r="F437" t="s">
        <v>16</v>
      </c>
      <c r="G437" t="s">
        <v>32</v>
      </c>
      <c r="H437" t="s">
        <v>81</v>
      </c>
      <c r="I437" t="s">
        <v>27</v>
      </c>
      <c r="J437" t="s">
        <v>20</v>
      </c>
      <c r="K437">
        <v>0</v>
      </c>
      <c r="L437">
        <v>87</v>
      </c>
      <c r="M437" t="s">
        <v>47</v>
      </c>
      <c r="N437" t="s">
        <v>63</v>
      </c>
    </row>
    <row r="438" spans="1:14" x14ac:dyDescent="0.3">
      <c r="A438">
        <v>26233103</v>
      </c>
      <c r="B438" t="s">
        <v>506</v>
      </c>
      <c r="C438" t="s">
        <v>54</v>
      </c>
      <c r="D438" s="1">
        <v>45587</v>
      </c>
      <c r="E438">
        <v>11583</v>
      </c>
      <c r="F438" t="s">
        <v>16</v>
      </c>
      <c r="G438" t="s">
        <v>71</v>
      </c>
      <c r="H438" t="s">
        <v>103</v>
      </c>
      <c r="I438" t="s">
        <v>72</v>
      </c>
      <c r="J438" t="s">
        <v>85</v>
      </c>
      <c r="K438">
        <v>0</v>
      </c>
      <c r="L438">
        <v>91</v>
      </c>
      <c r="M438" t="s">
        <v>29</v>
      </c>
      <c r="N438" t="s">
        <v>36</v>
      </c>
    </row>
    <row r="439" spans="1:14" x14ac:dyDescent="0.3">
      <c r="A439">
        <v>51833384</v>
      </c>
      <c r="B439" t="s">
        <v>507</v>
      </c>
      <c r="C439" t="s">
        <v>101</v>
      </c>
      <c r="D439" s="1">
        <v>45617</v>
      </c>
      <c r="E439">
        <v>1758</v>
      </c>
      <c r="F439" t="s">
        <v>39</v>
      </c>
      <c r="G439" t="s">
        <v>17</v>
      </c>
      <c r="H439" t="s">
        <v>103</v>
      </c>
      <c r="I439" t="s">
        <v>34</v>
      </c>
      <c r="J439" t="s">
        <v>20</v>
      </c>
      <c r="K439">
        <v>0</v>
      </c>
      <c r="L439">
        <v>26</v>
      </c>
      <c r="M439" t="s">
        <v>29</v>
      </c>
      <c r="N439" t="s">
        <v>63</v>
      </c>
    </row>
    <row r="440" spans="1:14" x14ac:dyDescent="0.3">
      <c r="A440">
        <v>50511993</v>
      </c>
      <c r="B440" t="s">
        <v>508</v>
      </c>
      <c r="C440" t="s">
        <v>38</v>
      </c>
      <c r="D440" s="1">
        <v>45564</v>
      </c>
      <c r="E440">
        <v>4778</v>
      </c>
      <c r="F440" t="s">
        <v>16</v>
      </c>
      <c r="G440" t="s">
        <v>25</v>
      </c>
      <c r="H440" t="s">
        <v>33</v>
      </c>
      <c r="I440" t="s">
        <v>34</v>
      </c>
      <c r="J440" t="s">
        <v>28</v>
      </c>
      <c r="K440">
        <v>0</v>
      </c>
      <c r="L440">
        <v>24</v>
      </c>
      <c r="M440" t="s">
        <v>29</v>
      </c>
      <c r="N440" t="s">
        <v>73</v>
      </c>
    </row>
    <row r="441" spans="1:14" x14ac:dyDescent="0.3">
      <c r="A441">
        <v>96218843</v>
      </c>
      <c r="B441" t="s">
        <v>509</v>
      </c>
      <c r="C441" t="s">
        <v>77</v>
      </c>
      <c r="D441" s="1">
        <v>45546</v>
      </c>
      <c r="E441">
        <v>5899</v>
      </c>
      <c r="F441" t="s">
        <v>50</v>
      </c>
      <c r="G441" t="s">
        <v>55</v>
      </c>
      <c r="H441" t="s">
        <v>62</v>
      </c>
      <c r="I441" t="s">
        <v>34</v>
      </c>
      <c r="J441" t="s">
        <v>52</v>
      </c>
      <c r="K441">
        <v>0</v>
      </c>
      <c r="L441">
        <v>90</v>
      </c>
      <c r="M441" t="s">
        <v>21</v>
      </c>
      <c r="N441" t="s">
        <v>73</v>
      </c>
    </row>
    <row r="442" spans="1:14" x14ac:dyDescent="0.3">
      <c r="A442">
        <v>37850099</v>
      </c>
      <c r="B442" t="s">
        <v>510</v>
      </c>
      <c r="C442" t="s">
        <v>38</v>
      </c>
      <c r="D442" s="1">
        <v>45371</v>
      </c>
      <c r="E442">
        <v>14787</v>
      </c>
      <c r="F442" t="s">
        <v>50</v>
      </c>
      <c r="G442" t="s">
        <v>71</v>
      </c>
      <c r="H442" t="s">
        <v>26</v>
      </c>
      <c r="I442" t="s">
        <v>34</v>
      </c>
      <c r="J442" t="s">
        <v>52</v>
      </c>
      <c r="K442">
        <v>0</v>
      </c>
      <c r="L442">
        <v>85</v>
      </c>
      <c r="M442" t="s">
        <v>65</v>
      </c>
      <c r="N442" t="s">
        <v>73</v>
      </c>
    </row>
    <row r="443" spans="1:14" x14ac:dyDescent="0.3">
      <c r="A443">
        <v>75964553</v>
      </c>
      <c r="B443" t="s">
        <v>511</v>
      </c>
      <c r="C443" t="s">
        <v>101</v>
      </c>
      <c r="D443" s="1">
        <v>45621</v>
      </c>
      <c r="E443">
        <v>24096</v>
      </c>
      <c r="F443" t="s">
        <v>16</v>
      </c>
      <c r="G443" t="s">
        <v>17</v>
      </c>
      <c r="H443" t="s">
        <v>81</v>
      </c>
      <c r="I443" t="s">
        <v>19</v>
      </c>
      <c r="J443" t="s">
        <v>28</v>
      </c>
      <c r="K443">
        <v>0</v>
      </c>
      <c r="L443">
        <v>54</v>
      </c>
      <c r="M443" t="s">
        <v>58</v>
      </c>
      <c r="N443" t="s">
        <v>36</v>
      </c>
    </row>
    <row r="444" spans="1:14" x14ac:dyDescent="0.3">
      <c r="A444">
        <v>60827365</v>
      </c>
      <c r="B444" t="s">
        <v>512</v>
      </c>
      <c r="C444" t="s">
        <v>75</v>
      </c>
      <c r="D444" s="1">
        <v>45542</v>
      </c>
      <c r="E444">
        <v>1748</v>
      </c>
      <c r="F444" t="s">
        <v>50</v>
      </c>
      <c r="G444" t="s">
        <v>25</v>
      </c>
      <c r="H444" t="s">
        <v>56</v>
      </c>
      <c r="I444" t="s">
        <v>27</v>
      </c>
      <c r="J444" t="s">
        <v>68</v>
      </c>
      <c r="K444">
        <v>1</v>
      </c>
      <c r="L444">
        <v>48</v>
      </c>
      <c r="M444" t="s">
        <v>29</v>
      </c>
      <c r="N444" t="s">
        <v>46</v>
      </c>
    </row>
    <row r="445" spans="1:14" x14ac:dyDescent="0.3">
      <c r="A445">
        <v>67553222</v>
      </c>
      <c r="B445" t="s">
        <v>513</v>
      </c>
      <c r="C445" t="s">
        <v>38</v>
      </c>
      <c r="D445" s="1">
        <v>45295</v>
      </c>
      <c r="E445">
        <v>17905</v>
      </c>
      <c r="F445" t="s">
        <v>39</v>
      </c>
      <c r="G445" t="s">
        <v>25</v>
      </c>
      <c r="H445" t="s">
        <v>51</v>
      </c>
      <c r="I445" t="s">
        <v>27</v>
      </c>
      <c r="J445" t="s">
        <v>57</v>
      </c>
      <c r="K445">
        <v>0</v>
      </c>
      <c r="L445">
        <v>20</v>
      </c>
      <c r="M445" t="s">
        <v>47</v>
      </c>
      <c r="N445" t="s">
        <v>43</v>
      </c>
    </row>
    <row r="446" spans="1:14" x14ac:dyDescent="0.3">
      <c r="A446">
        <v>70703267</v>
      </c>
      <c r="B446" t="s">
        <v>514</v>
      </c>
      <c r="C446" t="s">
        <v>54</v>
      </c>
      <c r="D446" s="1">
        <v>45428</v>
      </c>
      <c r="E446">
        <v>23582</v>
      </c>
      <c r="F446" t="s">
        <v>50</v>
      </c>
      <c r="G446" t="s">
        <v>32</v>
      </c>
      <c r="H446" t="s">
        <v>56</v>
      </c>
      <c r="I446" t="s">
        <v>19</v>
      </c>
      <c r="J446" t="s">
        <v>79</v>
      </c>
      <c r="K446">
        <v>1</v>
      </c>
      <c r="L446">
        <v>78</v>
      </c>
      <c r="M446" t="s">
        <v>47</v>
      </c>
      <c r="N446" t="s">
        <v>73</v>
      </c>
    </row>
    <row r="447" spans="1:14" x14ac:dyDescent="0.3">
      <c r="A447">
        <v>93723953</v>
      </c>
      <c r="B447" t="s">
        <v>515</v>
      </c>
      <c r="C447" t="s">
        <v>15</v>
      </c>
      <c r="D447" s="1">
        <v>45578</v>
      </c>
      <c r="E447">
        <v>10964</v>
      </c>
      <c r="F447" t="s">
        <v>61</v>
      </c>
      <c r="G447" t="s">
        <v>71</v>
      </c>
      <c r="H447" t="s">
        <v>18</v>
      </c>
      <c r="I447" t="s">
        <v>19</v>
      </c>
      <c r="J447" t="s">
        <v>85</v>
      </c>
      <c r="K447">
        <v>0</v>
      </c>
      <c r="L447">
        <v>73</v>
      </c>
      <c r="M447" t="s">
        <v>21</v>
      </c>
      <c r="N447" t="s">
        <v>63</v>
      </c>
    </row>
    <row r="448" spans="1:14" x14ac:dyDescent="0.3">
      <c r="A448">
        <v>77013471</v>
      </c>
      <c r="B448" t="s">
        <v>516</v>
      </c>
      <c r="C448" t="s">
        <v>101</v>
      </c>
      <c r="D448" s="1">
        <v>45276</v>
      </c>
      <c r="E448">
        <v>18061</v>
      </c>
      <c r="F448" t="s">
        <v>61</v>
      </c>
      <c r="G448" t="s">
        <v>17</v>
      </c>
      <c r="H448" t="s">
        <v>33</v>
      </c>
      <c r="I448" t="s">
        <v>72</v>
      </c>
      <c r="J448" t="s">
        <v>85</v>
      </c>
      <c r="K448">
        <v>0</v>
      </c>
      <c r="L448">
        <v>58</v>
      </c>
      <c r="M448" t="s">
        <v>47</v>
      </c>
      <c r="N448" t="s">
        <v>87</v>
      </c>
    </row>
    <row r="449" spans="1:14" x14ac:dyDescent="0.3">
      <c r="A449">
        <v>17711735</v>
      </c>
      <c r="B449" t="s">
        <v>517</v>
      </c>
      <c r="C449" t="s">
        <v>45</v>
      </c>
      <c r="D449" s="1">
        <v>45409</v>
      </c>
      <c r="E449">
        <v>3447</v>
      </c>
      <c r="F449" t="s">
        <v>61</v>
      </c>
      <c r="G449" t="s">
        <v>32</v>
      </c>
      <c r="H449" t="s">
        <v>81</v>
      </c>
      <c r="I449" t="s">
        <v>19</v>
      </c>
      <c r="J449" t="s">
        <v>68</v>
      </c>
      <c r="K449">
        <v>0</v>
      </c>
      <c r="L449">
        <v>83</v>
      </c>
      <c r="M449" t="s">
        <v>42</v>
      </c>
      <c r="N449" t="s">
        <v>46</v>
      </c>
    </row>
    <row r="450" spans="1:14" x14ac:dyDescent="0.3">
      <c r="A450">
        <v>58869875</v>
      </c>
      <c r="B450" t="s">
        <v>518</v>
      </c>
      <c r="C450" t="s">
        <v>75</v>
      </c>
      <c r="D450" s="1">
        <v>45639</v>
      </c>
      <c r="E450">
        <v>7336</v>
      </c>
      <c r="F450" t="s">
        <v>61</v>
      </c>
      <c r="G450" t="s">
        <v>71</v>
      </c>
      <c r="H450" t="s">
        <v>81</v>
      </c>
      <c r="I450" t="s">
        <v>34</v>
      </c>
      <c r="J450" t="s">
        <v>85</v>
      </c>
      <c r="K450">
        <v>0</v>
      </c>
      <c r="L450">
        <v>74</v>
      </c>
      <c r="M450" t="s">
        <v>29</v>
      </c>
      <c r="N450" t="s">
        <v>73</v>
      </c>
    </row>
    <row r="451" spans="1:14" x14ac:dyDescent="0.3">
      <c r="A451">
        <v>11993515</v>
      </c>
      <c r="B451" t="s">
        <v>519</v>
      </c>
      <c r="C451" t="s">
        <v>45</v>
      </c>
      <c r="D451" s="1">
        <v>45529</v>
      </c>
      <c r="E451">
        <v>20173</v>
      </c>
      <c r="F451" t="s">
        <v>50</v>
      </c>
      <c r="G451" t="s">
        <v>71</v>
      </c>
      <c r="H451" t="s">
        <v>81</v>
      </c>
      <c r="I451" t="s">
        <v>19</v>
      </c>
      <c r="J451" t="s">
        <v>35</v>
      </c>
      <c r="K451">
        <v>0</v>
      </c>
      <c r="L451">
        <v>18</v>
      </c>
      <c r="M451" t="s">
        <v>47</v>
      </c>
      <c r="N451" t="s">
        <v>43</v>
      </c>
    </row>
    <row r="452" spans="1:14" x14ac:dyDescent="0.3">
      <c r="A452">
        <v>82239024</v>
      </c>
      <c r="B452" t="s">
        <v>520</v>
      </c>
      <c r="C452" t="s">
        <v>75</v>
      </c>
      <c r="D452" s="1">
        <v>45371</v>
      </c>
      <c r="E452">
        <v>13734</v>
      </c>
      <c r="F452" t="s">
        <v>16</v>
      </c>
      <c r="G452" t="s">
        <v>32</v>
      </c>
      <c r="H452" t="s">
        <v>26</v>
      </c>
      <c r="I452" t="s">
        <v>19</v>
      </c>
      <c r="J452" t="s">
        <v>52</v>
      </c>
      <c r="K452">
        <v>0</v>
      </c>
      <c r="L452">
        <v>50</v>
      </c>
      <c r="M452" t="s">
        <v>58</v>
      </c>
      <c r="N452" t="s">
        <v>46</v>
      </c>
    </row>
    <row r="453" spans="1:14" x14ac:dyDescent="0.3">
      <c r="A453">
        <v>86982876</v>
      </c>
      <c r="B453" t="s">
        <v>521</v>
      </c>
      <c r="C453" t="s">
        <v>38</v>
      </c>
      <c r="D453" s="1">
        <v>45515</v>
      </c>
      <c r="E453">
        <v>15712</v>
      </c>
      <c r="F453" t="s">
        <v>16</v>
      </c>
      <c r="G453" t="s">
        <v>55</v>
      </c>
      <c r="H453" t="s">
        <v>18</v>
      </c>
      <c r="I453" t="s">
        <v>34</v>
      </c>
      <c r="J453" t="s">
        <v>85</v>
      </c>
      <c r="K453">
        <v>0</v>
      </c>
      <c r="L453">
        <v>91</v>
      </c>
      <c r="M453" t="s">
        <v>29</v>
      </c>
      <c r="N453" t="s">
        <v>48</v>
      </c>
    </row>
    <row r="454" spans="1:14" x14ac:dyDescent="0.3">
      <c r="A454">
        <v>45876073</v>
      </c>
      <c r="B454" t="s">
        <v>522</v>
      </c>
      <c r="C454" t="s">
        <v>77</v>
      </c>
      <c r="D454" s="1">
        <v>45632</v>
      </c>
      <c r="E454">
        <v>23962</v>
      </c>
      <c r="F454" t="s">
        <v>16</v>
      </c>
      <c r="G454" t="s">
        <v>32</v>
      </c>
      <c r="H454" t="s">
        <v>62</v>
      </c>
      <c r="I454" t="s">
        <v>34</v>
      </c>
      <c r="J454" t="s">
        <v>52</v>
      </c>
      <c r="K454">
        <v>0</v>
      </c>
      <c r="L454">
        <v>49</v>
      </c>
      <c r="M454" t="s">
        <v>29</v>
      </c>
      <c r="N454" t="s">
        <v>63</v>
      </c>
    </row>
    <row r="455" spans="1:14" x14ac:dyDescent="0.3">
      <c r="A455">
        <v>25544395</v>
      </c>
      <c r="B455" t="s">
        <v>523</v>
      </c>
      <c r="C455" t="s">
        <v>15</v>
      </c>
      <c r="D455" s="1">
        <v>45514</v>
      </c>
      <c r="E455">
        <v>11824</v>
      </c>
      <c r="F455" t="s">
        <v>39</v>
      </c>
      <c r="G455" t="s">
        <v>32</v>
      </c>
      <c r="H455" t="s">
        <v>103</v>
      </c>
      <c r="I455" t="s">
        <v>72</v>
      </c>
      <c r="J455" t="s">
        <v>68</v>
      </c>
      <c r="K455">
        <v>0</v>
      </c>
      <c r="L455">
        <v>67</v>
      </c>
      <c r="M455" t="s">
        <v>29</v>
      </c>
      <c r="N455" t="s">
        <v>73</v>
      </c>
    </row>
    <row r="456" spans="1:14" x14ac:dyDescent="0.3">
      <c r="A456">
        <v>54840974</v>
      </c>
      <c r="B456" t="s">
        <v>524</v>
      </c>
      <c r="C456" t="s">
        <v>15</v>
      </c>
      <c r="D456" s="1">
        <v>45307</v>
      </c>
      <c r="E456">
        <v>20678</v>
      </c>
      <c r="F456" t="s">
        <v>39</v>
      </c>
      <c r="G456" t="s">
        <v>55</v>
      </c>
      <c r="H456" t="s">
        <v>18</v>
      </c>
      <c r="I456" t="s">
        <v>19</v>
      </c>
      <c r="J456" t="s">
        <v>28</v>
      </c>
      <c r="K456">
        <v>0</v>
      </c>
      <c r="L456">
        <v>44</v>
      </c>
      <c r="M456" t="s">
        <v>47</v>
      </c>
      <c r="N456" t="s">
        <v>87</v>
      </c>
    </row>
    <row r="457" spans="1:14" x14ac:dyDescent="0.3">
      <c r="A457">
        <v>51197159</v>
      </c>
      <c r="B457" t="s">
        <v>525</v>
      </c>
      <c r="C457" t="s">
        <v>75</v>
      </c>
      <c r="D457" s="1">
        <v>45361</v>
      </c>
      <c r="E457">
        <v>4951</v>
      </c>
      <c r="F457" t="s">
        <v>16</v>
      </c>
      <c r="G457" t="s">
        <v>71</v>
      </c>
      <c r="H457" t="s">
        <v>103</v>
      </c>
      <c r="I457" t="s">
        <v>27</v>
      </c>
      <c r="J457" t="s">
        <v>79</v>
      </c>
      <c r="K457">
        <v>0</v>
      </c>
      <c r="L457">
        <v>16</v>
      </c>
      <c r="M457" t="s">
        <v>21</v>
      </c>
      <c r="N457" t="s">
        <v>59</v>
      </c>
    </row>
    <row r="458" spans="1:14" x14ac:dyDescent="0.3">
      <c r="A458">
        <v>23776754</v>
      </c>
      <c r="B458" t="s">
        <v>526</v>
      </c>
      <c r="C458" t="s">
        <v>77</v>
      </c>
      <c r="D458" s="1">
        <v>45583</v>
      </c>
      <c r="E458">
        <v>2189</v>
      </c>
      <c r="F458" t="s">
        <v>16</v>
      </c>
      <c r="G458" t="s">
        <v>25</v>
      </c>
      <c r="H458" t="s">
        <v>18</v>
      </c>
      <c r="I458" t="s">
        <v>27</v>
      </c>
      <c r="J458" t="s">
        <v>52</v>
      </c>
      <c r="K458">
        <v>1</v>
      </c>
      <c r="L458">
        <v>87</v>
      </c>
      <c r="M458" t="s">
        <v>21</v>
      </c>
      <c r="N458" t="s">
        <v>87</v>
      </c>
    </row>
    <row r="459" spans="1:14" x14ac:dyDescent="0.3">
      <c r="A459">
        <v>27097875</v>
      </c>
      <c r="B459" t="s">
        <v>527</v>
      </c>
      <c r="C459" t="s">
        <v>15</v>
      </c>
      <c r="D459" s="1">
        <v>45396</v>
      </c>
      <c r="E459">
        <v>11957</v>
      </c>
      <c r="F459" t="s">
        <v>16</v>
      </c>
      <c r="G459" t="s">
        <v>25</v>
      </c>
      <c r="H459" t="s">
        <v>40</v>
      </c>
      <c r="I459" t="s">
        <v>72</v>
      </c>
      <c r="J459" t="s">
        <v>52</v>
      </c>
      <c r="K459">
        <v>0</v>
      </c>
      <c r="L459">
        <v>34</v>
      </c>
      <c r="M459" t="s">
        <v>65</v>
      </c>
      <c r="N459" t="s">
        <v>63</v>
      </c>
    </row>
    <row r="460" spans="1:14" x14ac:dyDescent="0.3">
      <c r="A460">
        <v>19280981</v>
      </c>
      <c r="B460" t="s">
        <v>528</v>
      </c>
      <c r="C460" t="s">
        <v>38</v>
      </c>
      <c r="D460" s="1">
        <v>45344</v>
      </c>
      <c r="E460">
        <v>12023</v>
      </c>
      <c r="F460" t="s">
        <v>16</v>
      </c>
      <c r="G460" t="s">
        <v>25</v>
      </c>
      <c r="H460" t="s">
        <v>46</v>
      </c>
      <c r="I460" t="s">
        <v>27</v>
      </c>
      <c r="J460" t="s">
        <v>57</v>
      </c>
      <c r="K460">
        <v>0</v>
      </c>
      <c r="L460">
        <v>30</v>
      </c>
      <c r="M460" t="s">
        <v>47</v>
      </c>
      <c r="N460" t="s">
        <v>59</v>
      </c>
    </row>
    <row r="461" spans="1:14" x14ac:dyDescent="0.3">
      <c r="A461">
        <v>91106018</v>
      </c>
      <c r="B461" t="s">
        <v>529</v>
      </c>
      <c r="C461" t="s">
        <v>101</v>
      </c>
      <c r="D461" s="1">
        <v>45492</v>
      </c>
      <c r="E461">
        <v>2518</v>
      </c>
      <c r="F461" t="s">
        <v>61</v>
      </c>
      <c r="G461" t="s">
        <v>32</v>
      </c>
      <c r="H461" t="s">
        <v>40</v>
      </c>
      <c r="I461" t="s">
        <v>19</v>
      </c>
      <c r="J461" t="s">
        <v>20</v>
      </c>
      <c r="K461">
        <v>0</v>
      </c>
      <c r="L461">
        <v>69</v>
      </c>
      <c r="M461" t="s">
        <v>65</v>
      </c>
      <c r="N461" t="s">
        <v>22</v>
      </c>
    </row>
    <row r="462" spans="1:14" x14ac:dyDescent="0.3">
      <c r="A462">
        <v>28670299</v>
      </c>
      <c r="B462" t="s">
        <v>530</v>
      </c>
      <c r="C462" t="s">
        <v>24</v>
      </c>
      <c r="D462" s="1">
        <v>45490</v>
      </c>
      <c r="E462">
        <v>895</v>
      </c>
      <c r="F462" t="s">
        <v>16</v>
      </c>
      <c r="G462" t="s">
        <v>17</v>
      </c>
      <c r="H462" t="s">
        <v>26</v>
      </c>
      <c r="I462" t="s">
        <v>27</v>
      </c>
      <c r="J462" t="s">
        <v>52</v>
      </c>
      <c r="K462">
        <v>1</v>
      </c>
      <c r="L462">
        <v>46</v>
      </c>
      <c r="M462" t="s">
        <v>29</v>
      </c>
      <c r="N462" t="s">
        <v>48</v>
      </c>
    </row>
    <row r="463" spans="1:14" x14ac:dyDescent="0.3">
      <c r="A463">
        <v>44658735</v>
      </c>
      <c r="B463" t="s">
        <v>531</v>
      </c>
      <c r="C463" t="s">
        <v>101</v>
      </c>
      <c r="D463" s="1">
        <v>45498</v>
      </c>
      <c r="E463">
        <v>21347</v>
      </c>
      <c r="F463" t="s">
        <v>61</v>
      </c>
      <c r="G463" t="s">
        <v>55</v>
      </c>
      <c r="H463" t="s">
        <v>18</v>
      </c>
      <c r="I463" t="s">
        <v>72</v>
      </c>
      <c r="J463" t="s">
        <v>57</v>
      </c>
      <c r="K463">
        <v>1</v>
      </c>
      <c r="L463">
        <v>14</v>
      </c>
      <c r="M463" t="s">
        <v>21</v>
      </c>
      <c r="N463" t="s">
        <v>22</v>
      </c>
    </row>
    <row r="464" spans="1:14" x14ac:dyDescent="0.3">
      <c r="A464">
        <v>57594422</v>
      </c>
      <c r="B464" t="s">
        <v>532</v>
      </c>
      <c r="C464" t="s">
        <v>24</v>
      </c>
      <c r="D464" s="1">
        <v>45590</v>
      </c>
      <c r="E464">
        <v>9016</v>
      </c>
      <c r="F464" t="s">
        <v>16</v>
      </c>
      <c r="G464" t="s">
        <v>32</v>
      </c>
      <c r="H464" t="s">
        <v>51</v>
      </c>
      <c r="I464" t="s">
        <v>72</v>
      </c>
      <c r="J464" t="s">
        <v>35</v>
      </c>
      <c r="K464">
        <v>0</v>
      </c>
      <c r="L464">
        <v>62</v>
      </c>
      <c r="M464" t="s">
        <v>47</v>
      </c>
      <c r="N464" t="s">
        <v>73</v>
      </c>
    </row>
    <row r="465" spans="1:14" x14ac:dyDescent="0.3">
      <c r="A465">
        <v>58309979</v>
      </c>
      <c r="B465" t="s">
        <v>533</v>
      </c>
      <c r="C465" t="s">
        <v>15</v>
      </c>
      <c r="D465" s="1">
        <v>45510</v>
      </c>
      <c r="E465">
        <v>10912</v>
      </c>
      <c r="F465" t="s">
        <v>16</v>
      </c>
      <c r="G465" t="s">
        <v>55</v>
      </c>
      <c r="H465" t="s">
        <v>26</v>
      </c>
      <c r="I465" t="s">
        <v>72</v>
      </c>
      <c r="J465" t="s">
        <v>28</v>
      </c>
      <c r="K465">
        <v>1</v>
      </c>
      <c r="L465">
        <v>32</v>
      </c>
      <c r="M465" t="s">
        <v>58</v>
      </c>
      <c r="N465" t="s">
        <v>22</v>
      </c>
    </row>
    <row r="466" spans="1:14" x14ac:dyDescent="0.3">
      <c r="A466">
        <v>16064842</v>
      </c>
      <c r="B466" t="s">
        <v>534</v>
      </c>
      <c r="C466" t="s">
        <v>70</v>
      </c>
      <c r="D466" s="1">
        <v>45293</v>
      </c>
      <c r="E466">
        <v>16211</v>
      </c>
      <c r="F466" t="s">
        <v>39</v>
      </c>
      <c r="G466" t="s">
        <v>55</v>
      </c>
      <c r="H466" t="s">
        <v>33</v>
      </c>
      <c r="I466" t="s">
        <v>34</v>
      </c>
      <c r="J466" t="s">
        <v>52</v>
      </c>
      <c r="K466">
        <v>0</v>
      </c>
      <c r="L466">
        <v>90</v>
      </c>
      <c r="M466" t="s">
        <v>65</v>
      </c>
      <c r="N466" t="s">
        <v>22</v>
      </c>
    </row>
    <row r="467" spans="1:14" x14ac:dyDescent="0.3">
      <c r="A467">
        <v>32038843</v>
      </c>
      <c r="B467" t="s">
        <v>535</v>
      </c>
      <c r="C467" t="s">
        <v>77</v>
      </c>
      <c r="D467" s="1">
        <v>45416</v>
      </c>
      <c r="E467">
        <v>7179</v>
      </c>
      <c r="F467" t="s">
        <v>16</v>
      </c>
      <c r="G467" t="s">
        <v>25</v>
      </c>
      <c r="H467" t="s">
        <v>40</v>
      </c>
      <c r="I467" t="s">
        <v>19</v>
      </c>
      <c r="J467" t="s">
        <v>79</v>
      </c>
      <c r="K467">
        <v>0</v>
      </c>
      <c r="L467">
        <v>39</v>
      </c>
      <c r="M467" t="s">
        <v>42</v>
      </c>
      <c r="N467" t="s">
        <v>43</v>
      </c>
    </row>
    <row r="468" spans="1:14" x14ac:dyDescent="0.3">
      <c r="A468">
        <v>90880782</v>
      </c>
      <c r="B468" t="s">
        <v>536</v>
      </c>
      <c r="C468" t="s">
        <v>31</v>
      </c>
      <c r="D468" s="1">
        <v>45392</v>
      </c>
      <c r="E468">
        <v>21569</v>
      </c>
      <c r="F468" t="s">
        <v>16</v>
      </c>
      <c r="G468" t="s">
        <v>25</v>
      </c>
      <c r="H468" t="s">
        <v>81</v>
      </c>
      <c r="I468" t="s">
        <v>27</v>
      </c>
      <c r="J468" t="s">
        <v>20</v>
      </c>
      <c r="K468">
        <v>1</v>
      </c>
      <c r="L468">
        <v>69</v>
      </c>
      <c r="M468" t="s">
        <v>29</v>
      </c>
      <c r="N468" t="s">
        <v>43</v>
      </c>
    </row>
    <row r="469" spans="1:14" x14ac:dyDescent="0.3">
      <c r="A469">
        <v>34720739</v>
      </c>
      <c r="B469" t="s">
        <v>537</v>
      </c>
      <c r="C469" t="s">
        <v>54</v>
      </c>
      <c r="D469" s="1">
        <v>45420</v>
      </c>
      <c r="E469">
        <v>8087</v>
      </c>
      <c r="F469" t="s">
        <v>61</v>
      </c>
      <c r="G469" t="s">
        <v>17</v>
      </c>
      <c r="H469" t="s">
        <v>56</v>
      </c>
      <c r="I469" t="s">
        <v>34</v>
      </c>
      <c r="J469" t="s">
        <v>79</v>
      </c>
      <c r="K469">
        <v>0</v>
      </c>
      <c r="L469">
        <v>22</v>
      </c>
      <c r="M469" t="s">
        <v>58</v>
      </c>
      <c r="N469" t="s">
        <v>89</v>
      </c>
    </row>
    <row r="470" spans="1:14" x14ac:dyDescent="0.3">
      <c r="A470">
        <v>25391208</v>
      </c>
      <c r="B470" t="s">
        <v>538</v>
      </c>
      <c r="C470" t="s">
        <v>24</v>
      </c>
      <c r="D470" s="1">
        <v>45623</v>
      </c>
      <c r="E470">
        <v>4545</v>
      </c>
      <c r="F470" t="s">
        <v>50</v>
      </c>
      <c r="G470" t="s">
        <v>71</v>
      </c>
      <c r="H470" t="s">
        <v>33</v>
      </c>
      <c r="I470" t="s">
        <v>72</v>
      </c>
      <c r="J470" t="s">
        <v>79</v>
      </c>
      <c r="K470">
        <v>1</v>
      </c>
      <c r="L470">
        <v>43</v>
      </c>
      <c r="M470" t="s">
        <v>47</v>
      </c>
      <c r="N470" t="s">
        <v>59</v>
      </c>
    </row>
    <row r="471" spans="1:14" x14ac:dyDescent="0.3">
      <c r="A471">
        <v>11566841</v>
      </c>
      <c r="B471" t="s">
        <v>539</v>
      </c>
      <c r="C471" t="s">
        <v>31</v>
      </c>
      <c r="D471" s="1">
        <v>45370</v>
      </c>
      <c r="E471">
        <v>13250</v>
      </c>
      <c r="F471" t="s">
        <v>16</v>
      </c>
      <c r="G471" t="s">
        <v>17</v>
      </c>
      <c r="H471" t="s">
        <v>103</v>
      </c>
      <c r="I471" t="s">
        <v>19</v>
      </c>
      <c r="J471" t="s">
        <v>68</v>
      </c>
      <c r="K471">
        <v>0</v>
      </c>
      <c r="L471">
        <v>73</v>
      </c>
      <c r="M471" t="s">
        <v>21</v>
      </c>
      <c r="N471" t="s">
        <v>87</v>
      </c>
    </row>
    <row r="472" spans="1:14" x14ac:dyDescent="0.3">
      <c r="A472">
        <v>37792255</v>
      </c>
      <c r="B472" t="s">
        <v>540</v>
      </c>
      <c r="C472" t="s">
        <v>38</v>
      </c>
      <c r="D472" s="1">
        <v>45308</v>
      </c>
      <c r="E472">
        <v>9770</v>
      </c>
      <c r="F472" t="s">
        <v>61</v>
      </c>
      <c r="G472" t="s">
        <v>71</v>
      </c>
      <c r="H472" t="s">
        <v>33</v>
      </c>
      <c r="I472" t="s">
        <v>72</v>
      </c>
      <c r="J472" t="s">
        <v>41</v>
      </c>
      <c r="K472">
        <v>0</v>
      </c>
      <c r="L472">
        <v>91</v>
      </c>
      <c r="M472" t="s">
        <v>42</v>
      </c>
      <c r="N472" t="s">
        <v>73</v>
      </c>
    </row>
    <row r="473" spans="1:14" x14ac:dyDescent="0.3">
      <c r="A473">
        <v>78195881</v>
      </c>
      <c r="B473" t="s">
        <v>541</v>
      </c>
      <c r="C473" t="s">
        <v>31</v>
      </c>
      <c r="D473" s="1">
        <v>45324</v>
      </c>
      <c r="E473">
        <v>2324</v>
      </c>
      <c r="F473" t="s">
        <v>16</v>
      </c>
      <c r="G473" t="s">
        <v>17</v>
      </c>
      <c r="H473" t="s">
        <v>62</v>
      </c>
      <c r="I473" t="s">
        <v>19</v>
      </c>
      <c r="J473" t="s">
        <v>28</v>
      </c>
      <c r="K473">
        <v>0</v>
      </c>
      <c r="L473">
        <v>31</v>
      </c>
      <c r="M473" t="s">
        <v>65</v>
      </c>
      <c r="N473" t="s">
        <v>22</v>
      </c>
    </row>
    <row r="474" spans="1:14" x14ac:dyDescent="0.3">
      <c r="A474">
        <v>16553107</v>
      </c>
      <c r="B474" t="s">
        <v>542</v>
      </c>
      <c r="C474" t="s">
        <v>45</v>
      </c>
      <c r="D474" s="1">
        <v>45316</v>
      </c>
      <c r="E474">
        <v>11287</v>
      </c>
      <c r="F474" t="s">
        <v>39</v>
      </c>
      <c r="G474" t="s">
        <v>55</v>
      </c>
      <c r="H474" t="s">
        <v>40</v>
      </c>
      <c r="I474" t="s">
        <v>19</v>
      </c>
      <c r="J474" t="s">
        <v>79</v>
      </c>
      <c r="K474">
        <v>0</v>
      </c>
      <c r="L474">
        <v>72</v>
      </c>
      <c r="M474" t="s">
        <v>42</v>
      </c>
      <c r="N474" t="s">
        <v>89</v>
      </c>
    </row>
    <row r="475" spans="1:14" x14ac:dyDescent="0.3">
      <c r="A475">
        <v>23626485</v>
      </c>
      <c r="B475" t="s">
        <v>543</v>
      </c>
      <c r="C475" t="s">
        <v>45</v>
      </c>
      <c r="D475" s="1">
        <v>45442</v>
      </c>
      <c r="E475">
        <v>16796</v>
      </c>
      <c r="F475" t="s">
        <v>16</v>
      </c>
      <c r="G475" t="s">
        <v>25</v>
      </c>
      <c r="H475" t="s">
        <v>51</v>
      </c>
      <c r="I475" t="s">
        <v>34</v>
      </c>
      <c r="J475" t="s">
        <v>41</v>
      </c>
      <c r="K475">
        <v>0</v>
      </c>
      <c r="L475">
        <v>17</v>
      </c>
      <c r="M475" t="s">
        <v>21</v>
      </c>
      <c r="N475" t="s">
        <v>48</v>
      </c>
    </row>
    <row r="476" spans="1:14" x14ac:dyDescent="0.3">
      <c r="A476">
        <v>47281064</v>
      </c>
      <c r="B476" t="s">
        <v>544</v>
      </c>
      <c r="C476" t="s">
        <v>31</v>
      </c>
      <c r="D476" s="1">
        <v>45457</v>
      </c>
      <c r="E476">
        <v>8102</v>
      </c>
      <c r="F476" t="s">
        <v>16</v>
      </c>
      <c r="G476" t="s">
        <v>25</v>
      </c>
      <c r="H476" t="s">
        <v>81</v>
      </c>
      <c r="I476" t="s">
        <v>72</v>
      </c>
      <c r="J476" t="s">
        <v>68</v>
      </c>
      <c r="K476">
        <v>0</v>
      </c>
      <c r="L476">
        <v>66</v>
      </c>
      <c r="M476" t="s">
        <v>21</v>
      </c>
      <c r="N476" t="s">
        <v>63</v>
      </c>
    </row>
    <row r="477" spans="1:14" x14ac:dyDescent="0.3">
      <c r="A477">
        <v>49570396</v>
      </c>
      <c r="B477" t="s">
        <v>545</v>
      </c>
      <c r="C477" t="s">
        <v>24</v>
      </c>
      <c r="D477" s="1">
        <v>45366</v>
      </c>
      <c r="E477">
        <v>16197</v>
      </c>
      <c r="F477" t="s">
        <v>39</v>
      </c>
      <c r="G477" t="s">
        <v>55</v>
      </c>
      <c r="H477" t="s">
        <v>103</v>
      </c>
      <c r="I477" t="s">
        <v>72</v>
      </c>
      <c r="J477" t="s">
        <v>20</v>
      </c>
      <c r="K477">
        <v>0</v>
      </c>
      <c r="L477">
        <v>78</v>
      </c>
      <c r="M477" t="s">
        <v>29</v>
      </c>
      <c r="N477" t="s">
        <v>89</v>
      </c>
    </row>
    <row r="478" spans="1:14" x14ac:dyDescent="0.3">
      <c r="A478">
        <v>14844929</v>
      </c>
      <c r="B478" t="s">
        <v>546</v>
      </c>
      <c r="C478" t="s">
        <v>77</v>
      </c>
      <c r="D478" s="1">
        <v>45402</v>
      </c>
      <c r="E478">
        <v>19237</v>
      </c>
      <c r="F478" t="s">
        <v>50</v>
      </c>
      <c r="G478" t="s">
        <v>17</v>
      </c>
      <c r="H478" t="s">
        <v>62</v>
      </c>
      <c r="I478" t="s">
        <v>27</v>
      </c>
      <c r="J478" t="s">
        <v>41</v>
      </c>
      <c r="K478">
        <v>0</v>
      </c>
      <c r="L478">
        <v>69</v>
      </c>
      <c r="M478" t="s">
        <v>47</v>
      </c>
      <c r="N478" t="s">
        <v>59</v>
      </c>
    </row>
    <row r="479" spans="1:14" x14ac:dyDescent="0.3">
      <c r="A479">
        <v>70682410</v>
      </c>
      <c r="B479" t="s">
        <v>547</v>
      </c>
      <c r="C479" t="s">
        <v>31</v>
      </c>
      <c r="D479" s="1">
        <v>45431</v>
      </c>
      <c r="E479">
        <v>4015</v>
      </c>
      <c r="F479" t="s">
        <v>16</v>
      </c>
      <c r="G479" t="s">
        <v>32</v>
      </c>
      <c r="H479" t="s">
        <v>81</v>
      </c>
      <c r="I479" t="s">
        <v>19</v>
      </c>
      <c r="J479" t="s">
        <v>85</v>
      </c>
      <c r="K479">
        <v>0</v>
      </c>
      <c r="L479">
        <v>95</v>
      </c>
      <c r="M479" t="s">
        <v>42</v>
      </c>
      <c r="N479" t="s">
        <v>63</v>
      </c>
    </row>
    <row r="480" spans="1:14" x14ac:dyDescent="0.3">
      <c r="A480">
        <v>18091234</v>
      </c>
      <c r="B480" t="s">
        <v>548</v>
      </c>
      <c r="C480" t="s">
        <v>31</v>
      </c>
      <c r="D480" s="1">
        <v>45282</v>
      </c>
      <c r="E480">
        <v>9537</v>
      </c>
      <c r="F480" t="s">
        <v>16</v>
      </c>
      <c r="G480" t="s">
        <v>55</v>
      </c>
      <c r="H480" t="s">
        <v>62</v>
      </c>
      <c r="I480" t="s">
        <v>72</v>
      </c>
      <c r="J480" t="s">
        <v>57</v>
      </c>
      <c r="K480">
        <v>0</v>
      </c>
      <c r="L480">
        <v>87</v>
      </c>
      <c r="M480" t="s">
        <v>47</v>
      </c>
      <c r="N480" t="s">
        <v>73</v>
      </c>
    </row>
    <row r="481" spans="1:14" x14ac:dyDescent="0.3">
      <c r="A481">
        <v>16459233</v>
      </c>
      <c r="B481" t="s">
        <v>549</v>
      </c>
      <c r="C481" t="s">
        <v>38</v>
      </c>
      <c r="D481" s="1">
        <v>45638</v>
      </c>
      <c r="E481">
        <v>2155</v>
      </c>
      <c r="F481" t="s">
        <v>16</v>
      </c>
      <c r="G481" t="s">
        <v>71</v>
      </c>
      <c r="H481" t="s">
        <v>51</v>
      </c>
      <c r="I481" t="s">
        <v>72</v>
      </c>
      <c r="J481" t="s">
        <v>35</v>
      </c>
      <c r="K481">
        <v>1</v>
      </c>
      <c r="L481">
        <v>18</v>
      </c>
      <c r="M481" t="s">
        <v>42</v>
      </c>
      <c r="N481" t="s">
        <v>36</v>
      </c>
    </row>
    <row r="482" spans="1:14" x14ac:dyDescent="0.3">
      <c r="A482">
        <v>62865553</v>
      </c>
      <c r="B482" t="s">
        <v>550</v>
      </c>
      <c r="C482" t="s">
        <v>70</v>
      </c>
      <c r="D482" s="1">
        <v>45441</v>
      </c>
      <c r="E482">
        <v>5785</v>
      </c>
      <c r="F482" t="s">
        <v>16</v>
      </c>
      <c r="G482" t="s">
        <v>25</v>
      </c>
      <c r="H482" t="s">
        <v>81</v>
      </c>
      <c r="I482" t="s">
        <v>19</v>
      </c>
      <c r="J482" t="s">
        <v>20</v>
      </c>
      <c r="K482">
        <v>0</v>
      </c>
      <c r="L482">
        <v>94</v>
      </c>
      <c r="M482" t="s">
        <v>42</v>
      </c>
      <c r="N482" t="s">
        <v>63</v>
      </c>
    </row>
    <row r="483" spans="1:14" x14ac:dyDescent="0.3">
      <c r="A483">
        <v>42475828</v>
      </c>
      <c r="B483" t="s">
        <v>551</v>
      </c>
      <c r="C483" t="s">
        <v>15</v>
      </c>
      <c r="D483" s="1">
        <v>45291</v>
      </c>
      <c r="E483">
        <v>5790</v>
      </c>
      <c r="F483" t="s">
        <v>61</v>
      </c>
      <c r="G483" t="s">
        <v>55</v>
      </c>
      <c r="H483" t="s">
        <v>40</v>
      </c>
      <c r="I483" t="s">
        <v>72</v>
      </c>
      <c r="J483" t="s">
        <v>57</v>
      </c>
      <c r="K483">
        <v>0</v>
      </c>
      <c r="L483">
        <v>44</v>
      </c>
      <c r="M483" t="s">
        <v>47</v>
      </c>
      <c r="N483" t="s">
        <v>89</v>
      </c>
    </row>
    <row r="484" spans="1:14" x14ac:dyDescent="0.3">
      <c r="A484">
        <v>71698739</v>
      </c>
      <c r="B484" t="s">
        <v>552</v>
      </c>
      <c r="C484" t="s">
        <v>75</v>
      </c>
      <c r="D484" s="1">
        <v>45596</v>
      </c>
      <c r="E484">
        <v>2492</v>
      </c>
      <c r="F484" t="s">
        <v>61</v>
      </c>
      <c r="G484" t="s">
        <v>32</v>
      </c>
      <c r="H484" t="s">
        <v>56</v>
      </c>
      <c r="I484" t="s">
        <v>19</v>
      </c>
      <c r="J484" t="s">
        <v>41</v>
      </c>
      <c r="K484">
        <v>0</v>
      </c>
      <c r="L484">
        <v>29</v>
      </c>
      <c r="M484" t="s">
        <v>65</v>
      </c>
      <c r="N484" t="s">
        <v>36</v>
      </c>
    </row>
    <row r="485" spans="1:14" x14ac:dyDescent="0.3">
      <c r="A485">
        <v>16091282</v>
      </c>
      <c r="B485" t="s">
        <v>553</v>
      </c>
      <c r="C485" t="s">
        <v>77</v>
      </c>
      <c r="D485" s="1">
        <v>45641</v>
      </c>
      <c r="E485">
        <v>24182</v>
      </c>
      <c r="F485" t="s">
        <v>39</v>
      </c>
      <c r="G485" t="s">
        <v>17</v>
      </c>
      <c r="H485" t="s">
        <v>103</v>
      </c>
      <c r="I485" t="s">
        <v>27</v>
      </c>
      <c r="J485" t="s">
        <v>79</v>
      </c>
      <c r="K485">
        <v>1</v>
      </c>
      <c r="L485">
        <v>86</v>
      </c>
      <c r="M485" t="s">
        <v>42</v>
      </c>
      <c r="N485" t="s">
        <v>22</v>
      </c>
    </row>
    <row r="486" spans="1:14" x14ac:dyDescent="0.3">
      <c r="A486">
        <v>48600452</v>
      </c>
      <c r="B486" t="s">
        <v>554</v>
      </c>
      <c r="C486" t="s">
        <v>31</v>
      </c>
      <c r="D486" s="1">
        <v>45507</v>
      </c>
      <c r="E486">
        <v>11776</v>
      </c>
      <c r="F486" t="s">
        <v>39</v>
      </c>
      <c r="G486" t="s">
        <v>25</v>
      </c>
      <c r="H486" t="s">
        <v>51</v>
      </c>
      <c r="I486" t="s">
        <v>72</v>
      </c>
      <c r="J486" t="s">
        <v>41</v>
      </c>
      <c r="K486">
        <v>0</v>
      </c>
      <c r="L486">
        <v>81</v>
      </c>
      <c r="M486" t="s">
        <v>29</v>
      </c>
      <c r="N486" t="s">
        <v>87</v>
      </c>
    </row>
    <row r="487" spans="1:14" x14ac:dyDescent="0.3">
      <c r="A487">
        <v>37274744</v>
      </c>
      <c r="B487" t="s">
        <v>555</v>
      </c>
      <c r="C487" t="s">
        <v>101</v>
      </c>
      <c r="D487" s="1">
        <v>45531</v>
      </c>
      <c r="E487">
        <v>22400</v>
      </c>
      <c r="F487" t="s">
        <v>50</v>
      </c>
      <c r="G487" t="s">
        <v>17</v>
      </c>
      <c r="H487" t="s">
        <v>18</v>
      </c>
      <c r="I487" t="s">
        <v>27</v>
      </c>
      <c r="J487" t="s">
        <v>41</v>
      </c>
      <c r="K487">
        <v>0</v>
      </c>
      <c r="L487">
        <v>12</v>
      </c>
      <c r="M487" t="s">
        <v>58</v>
      </c>
      <c r="N487" t="s">
        <v>22</v>
      </c>
    </row>
    <row r="488" spans="1:14" x14ac:dyDescent="0.3">
      <c r="A488">
        <v>87624261</v>
      </c>
      <c r="B488" t="s">
        <v>556</v>
      </c>
      <c r="C488" t="s">
        <v>24</v>
      </c>
      <c r="D488" s="1">
        <v>45340</v>
      </c>
      <c r="E488">
        <v>14628</v>
      </c>
      <c r="F488" t="s">
        <v>39</v>
      </c>
      <c r="G488" t="s">
        <v>17</v>
      </c>
      <c r="H488" t="s">
        <v>103</v>
      </c>
      <c r="I488" t="s">
        <v>72</v>
      </c>
      <c r="J488" t="s">
        <v>20</v>
      </c>
      <c r="K488">
        <v>1</v>
      </c>
      <c r="L488">
        <v>66</v>
      </c>
      <c r="M488" t="s">
        <v>21</v>
      </c>
      <c r="N488" t="s">
        <v>36</v>
      </c>
    </row>
    <row r="489" spans="1:14" x14ac:dyDescent="0.3">
      <c r="A489">
        <v>25388475</v>
      </c>
      <c r="B489" t="s">
        <v>557</v>
      </c>
      <c r="C489" t="s">
        <v>45</v>
      </c>
      <c r="D489" s="1">
        <v>45503</v>
      </c>
      <c r="E489">
        <v>11477</v>
      </c>
      <c r="F489" t="s">
        <v>16</v>
      </c>
      <c r="G489" t="s">
        <v>55</v>
      </c>
      <c r="H489" t="s">
        <v>103</v>
      </c>
      <c r="I489" t="s">
        <v>27</v>
      </c>
      <c r="J489" t="s">
        <v>41</v>
      </c>
      <c r="K489">
        <v>1</v>
      </c>
      <c r="L489">
        <v>80</v>
      </c>
      <c r="M489" t="s">
        <v>29</v>
      </c>
      <c r="N489" t="s">
        <v>59</v>
      </c>
    </row>
    <row r="490" spans="1:14" x14ac:dyDescent="0.3">
      <c r="A490">
        <v>15366028</v>
      </c>
      <c r="B490" t="s">
        <v>558</v>
      </c>
      <c r="C490" t="s">
        <v>54</v>
      </c>
      <c r="D490" s="1">
        <v>45318</v>
      </c>
      <c r="E490">
        <v>16211</v>
      </c>
      <c r="F490" t="s">
        <v>39</v>
      </c>
      <c r="G490" t="s">
        <v>71</v>
      </c>
      <c r="H490" t="s">
        <v>62</v>
      </c>
      <c r="I490" t="s">
        <v>27</v>
      </c>
      <c r="J490" t="s">
        <v>57</v>
      </c>
      <c r="K490">
        <v>0</v>
      </c>
      <c r="L490">
        <v>16</v>
      </c>
      <c r="M490" t="s">
        <v>58</v>
      </c>
      <c r="N490" t="s">
        <v>22</v>
      </c>
    </row>
    <row r="491" spans="1:14" x14ac:dyDescent="0.3">
      <c r="A491">
        <v>15442058</v>
      </c>
      <c r="B491" t="s">
        <v>559</v>
      </c>
      <c r="C491" t="s">
        <v>24</v>
      </c>
      <c r="D491" s="1">
        <v>45527</v>
      </c>
      <c r="E491">
        <v>16284</v>
      </c>
      <c r="F491" t="s">
        <v>39</v>
      </c>
      <c r="G491" t="s">
        <v>71</v>
      </c>
      <c r="H491" t="s">
        <v>51</v>
      </c>
      <c r="I491" t="s">
        <v>34</v>
      </c>
      <c r="J491" t="s">
        <v>57</v>
      </c>
      <c r="K491">
        <v>1</v>
      </c>
      <c r="L491">
        <v>30</v>
      </c>
      <c r="M491" t="s">
        <v>42</v>
      </c>
      <c r="N491" t="s">
        <v>73</v>
      </c>
    </row>
    <row r="492" spans="1:14" x14ac:dyDescent="0.3">
      <c r="A492">
        <v>63324179</v>
      </c>
      <c r="B492" t="s">
        <v>560</v>
      </c>
      <c r="C492" t="s">
        <v>38</v>
      </c>
      <c r="D492" s="1">
        <v>45431</v>
      </c>
      <c r="E492">
        <v>22853</v>
      </c>
      <c r="F492" t="s">
        <v>39</v>
      </c>
      <c r="G492" t="s">
        <v>55</v>
      </c>
      <c r="H492" t="s">
        <v>18</v>
      </c>
      <c r="I492" t="s">
        <v>34</v>
      </c>
      <c r="J492" t="s">
        <v>41</v>
      </c>
      <c r="K492">
        <v>0</v>
      </c>
      <c r="L492">
        <v>28</v>
      </c>
      <c r="M492" t="s">
        <v>47</v>
      </c>
      <c r="N492" t="s">
        <v>48</v>
      </c>
    </row>
    <row r="493" spans="1:14" x14ac:dyDescent="0.3">
      <c r="A493">
        <v>35677748</v>
      </c>
      <c r="B493" t="s">
        <v>561</v>
      </c>
      <c r="C493" t="s">
        <v>70</v>
      </c>
      <c r="D493" s="1">
        <v>45515</v>
      </c>
      <c r="E493">
        <v>12120</v>
      </c>
      <c r="F493" t="s">
        <v>39</v>
      </c>
      <c r="G493" t="s">
        <v>17</v>
      </c>
      <c r="H493" t="s">
        <v>18</v>
      </c>
      <c r="I493" t="s">
        <v>19</v>
      </c>
      <c r="J493" t="s">
        <v>35</v>
      </c>
      <c r="K493">
        <v>0</v>
      </c>
      <c r="L493">
        <v>25</v>
      </c>
      <c r="M493" t="s">
        <v>29</v>
      </c>
      <c r="N493" t="s">
        <v>22</v>
      </c>
    </row>
    <row r="494" spans="1:14" x14ac:dyDescent="0.3">
      <c r="A494">
        <v>59741871</v>
      </c>
      <c r="B494" t="s">
        <v>562</v>
      </c>
      <c r="C494" t="s">
        <v>101</v>
      </c>
      <c r="D494" s="1">
        <v>45487</v>
      </c>
      <c r="E494">
        <v>20040</v>
      </c>
      <c r="F494" t="s">
        <v>39</v>
      </c>
      <c r="G494" t="s">
        <v>25</v>
      </c>
      <c r="H494" t="s">
        <v>51</v>
      </c>
      <c r="I494" t="s">
        <v>19</v>
      </c>
      <c r="J494" t="s">
        <v>57</v>
      </c>
      <c r="K494">
        <v>1</v>
      </c>
      <c r="L494">
        <v>52</v>
      </c>
      <c r="M494" t="s">
        <v>65</v>
      </c>
      <c r="N494" t="s">
        <v>22</v>
      </c>
    </row>
    <row r="495" spans="1:14" x14ac:dyDescent="0.3">
      <c r="A495">
        <v>48592936</v>
      </c>
      <c r="B495" t="s">
        <v>563</v>
      </c>
      <c r="C495" t="s">
        <v>70</v>
      </c>
      <c r="D495" s="1">
        <v>45560</v>
      </c>
      <c r="E495">
        <v>13221</v>
      </c>
      <c r="F495" t="s">
        <v>50</v>
      </c>
      <c r="G495" t="s">
        <v>17</v>
      </c>
      <c r="H495" t="s">
        <v>26</v>
      </c>
      <c r="I495" t="s">
        <v>27</v>
      </c>
      <c r="J495" t="s">
        <v>68</v>
      </c>
      <c r="K495">
        <v>0</v>
      </c>
      <c r="L495">
        <v>56</v>
      </c>
      <c r="M495" t="s">
        <v>47</v>
      </c>
      <c r="N495" t="s">
        <v>22</v>
      </c>
    </row>
    <row r="496" spans="1:14" x14ac:dyDescent="0.3">
      <c r="A496">
        <v>45743671</v>
      </c>
      <c r="B496" t="s">
        <v>564</v>
      </c>
      <c r="C496" t="s">
        <v>77</v>
      </c>
      <c r="D496" s="1">
        <v>45332</v>
      </c>
      <c r="E496">
        <v>141</v>
      </c>
      <c r="F496" t="s">
        <v>50</v>
      </c>
      <c r="G496" t="s">
        <v>32</v>
      </c>
      <c r="H496" t="s">
        <v>26</v>
      </c>
      <c r="I496" t="s">
        <v>34</v>
      </c>
      <c r="J496" t="s">
        <v>68</v>
      </c>
      <c r="K496">
        <v>0</v>
      </c>
      <c r="L496">
        <v>57</v>
      </c>
      <c r="M496" t="s">
        <v>21</v>
      </c>
      <c r="N496" t="s">
        <v>22</v>
      </c>
    </row>
    <row r="497" spans="1:14" x14ac:dyDescent="0.3">
      <c r="A497">
        <v>77505119</v>
      </c>
      <c r="B497" t="s">
        <v>565</v>
      </c>
      <c r="C497" t="s">
        <v>54</v>
      </c>
      <c r="D497" s="1">
        <v>45534</v>
      </c>
      <c r="E497">
        <v>17006</v>
      </c>
      <c r="F497" t="s">
        <v>39</v>
      </c>
      <c r="G497" t="s">
        <v>71</v>
      </c>
      <c r="H497" t="s">
        <v>51</v>
      </c>
      <c r="I497" t="s">
        <v>72</v>
      </c>
      <c r="J497" t="s">
        <v>68</v>
      </c>
      <c r="K497">
        <v>1</v>
      </c>
      <c r="L497">
        <v>20</v>
      </c>
      <c r="M497" t="s">
        <v>47</v>
      </c>
      <c r="N497" t="s">
        <v>87</v>
      </c>
    </row>
    <row r="498" spans="1:14" x14ac:dyDescent="0.3">
      <c r="A498">
        <v>55635877</v>
      </c>
      <c r="B498" t="s">
        <v>566</v>
      </c>
      <c r="C498" t="s">
        <v>75</v>
      </c>
      <c r="D498" s="1">
        <v>45292</v>
      </c>
      <c r="E498">
        <v>17949</v>
      </c>
      <c r="F498" t="s">
        <v>39</v>
      </c>
      <c r="G498" t="s">
        <v>32</v>
      </c>
      <c r="H498" t="s">
        <v>62</v>
      </c>
      <c r="I498" t="s">
        <v>72</v>
      </c>
      <c r="J498" t="s">
        <v>20</v>
      </c>
      <c r="K498">
        <v>1</v>
      </c>
      <c r="L498">
        <v>47</v>
      </c>
      <c r="M498" t="s">
        <v>21</v>
      </c>
      <c r="N498" t="s">
        <v>89</v>
      </c>
    </row>
    <row r="499" spans="1:14" x14ac:dyDescent="0.3">
      <c r="A499">
        <v>74059555</v>
      </c>
      <c r="B499" t="s">
        <v>567</v>
      </c>
      <c r="C499" t="s">
        <v>101</v>
      </c>
      <c r="D499" s="1">
        <v>45277</v>
      </c>
      <c r="E499">
        <v>15776</v>
      </c>
      <c r="F499" t="s">
        <v>39</v>
      </c>
      <c r="G499" t="s">
        <v>55</v>
      </c>
      <c r="H499" t="s">
        <v>40</v>
      </c>
      <c r="I499" t="s">
        <v>34</v>
      </c>
      <c r="J499" t="s">
        <v>52</v>
      </c>
      <c r="K499">
        <v>0</v>
      </c>
      <c r="L499">
        <v>68</v>
      </c>
      <c r="M499" t="s">
        <v>47</v>
      </c>
      <c r="N499" t="s">
        <v>63</v>
      </c>
    </row>
    <row r="500" spans="1:14" x14ac:dyDescent="0.3">
      <c r="A500">
        <v>58911466</v>
      </c>
      <c r="B500" t="s">
        <v>568</v>
      </c>
      <c r="C500" t="s">
        <v>54</v>
      </c>
      <c r="D500" s="1">
        <v>45478</v>
      </c>
      <c r="E500">
        <v>12769</v>
      </c>
      <c r="F500" t="s">
        <v>16</v>
      </c>
      <c r="G500" t="s">
        <v>71</v>
      </c>
      <c r="H500" t="s">
        <v>46</v>
      </c>
      <c r="I500" t="s">
        <v>19</v>
      </c>
      <c r="J500" t="s">
        <v>28</v>
      </c>
      <c r="K500">
        <v>0</v>
      </c>
      <c r="L500">
        <v>86</v>
      </c>
      <c r="M500" t="s">
        <v>65</v>
      </c>
      <c r="N500" t="s">
        <v>43</v>
      </c>
    </row>
    <row r="501" spans="1:14" x14ac:dyDescent="0.3">
      <c r="A501">
        <v>77009034</v>
      </c>
      <c r="B501" t="s">
        <v>569</v>
      </c>
      <c r="C501" t="s">
        <v>77</v>
      </c>
      <c r="D501" s="1">
        <v>45609</v>
      </c>
      <c r="E501">
        <v>12342</v>
      </c>
      <c r="F501" t="s">
        <v>39</v>
      </c>
      <c r="G501" t="s">
        <v>71</v>
      </c>
      <c r="H501" t="s">
        <v>46</v>
      </c>
      <c r="I501" t="s">
        <v>19</v>
      </c>
      <c r="J501" t="s">
        <v>85</v>
      </c>
      <c r="K501">
        <v>0</v>
      </c>
      <c r="L501">
        <v>10</v>
      </c>
      <c r="M501" t="s">
        <v>65</v>
      </c>
      <c r="N501" t="s">
        <v>87</v>
      </c>
    </row>
    <row r="502" spans="1:14" x14ac:dyDescent="0.3">
      <c r="A502">
        <v>86898101</v>
      </c>
      <c r="B502" t="s">
        <v>570</v>
      </c>
      <c r="C502" t="s">
        <v>101</v>
      </c>
      <c r="D502" s="1">
        <v>45502</v>
      </c>
      <c r="E502">
        <v>23173</v>
      </c>
      <c r="F502" t="s">
        <v>39</v>
      </c>
      <c r="G502" t="s">
        <v>25</v>
      </c>
      <c r="H502" t="s">
        <v>51</v>
      </c>
      <c r="I502" t="s">
        <v>34</v>
      </c>
      <c r="J502" t="s">
        <v>20</v>
      </c>
      <c r="K502">
        <v>0</v>
      </c>
      <c r="L502">
        <v>59</v>
      </c>
      <c r="M502" t="s">
        <v>21</v>
      </c>
      <c r="N502" t="s">
        <v>48</v>
      </c>
    </row>
    <row r="503" spans="1:14" x14ac:dyDescent="0.3">
      <c r="A503">
        <v>74199081</v>
      </c>
      <c r="B503" t="s">
        <v>571</v>
      </c>
      <c r="C503" t="s">
        <v>75</v>
      </c>
      <c r="D503" s="1">
        <v>45376</v>
      </c>
      <c r="E503">
        <v>7603</v>
      </c>
      <c r="F503" t="s">
        <v>39</v>
      </c>
      <c r="G503" t="s">
        <v>55</v>
      </c>
      <c r="H503" t="s">
        <v>46</v>
      </c>
      <c r="I503" t="s">
        <v>34</v>
      </c>
      <c r="J503" t="s">
        <v>57</v>
      </c>
      <c r="K503">
        <v>0</v>
      </c>
      <c r="L503">
        <v>83</v>
      </c>
      <c r="M503" t="s">
        <v>29</v>
      </c>
      <c r="N503" t="s">
        <v>59</v>
      </c>
    </row>
    <row r="504" spans="1:14" x14ac:dyDescent="0.3">
      <c r="A504">
        <v>35242722</v>
      </c>
      <c r="B504" t="s">
        <v>572</v>
      </c>
      <c r="C504" t="s">
        <v>70</v>
      </c>
      <c r="D504" s="1">
        <v>45316</v>
      </c>
      <c r="E504">
        <v>4969</v>
      </c>
      <c r="F504" t="s">
        <v>39</v>
      </c>
      <c r="G504" t="s">
        <v>32</v>
      </c>
      <c r="H504" t="s">
        <v>81</v>
      </c>
      <c r="I504" t="s">
        <v>72</v>
      </c>
      <c r="J504" t="s">
        <v>20</v>
      </c>
      <c r="K504">
        <v>0</v>
      </c>
      <c r="L504">
        <v>33</v>
      </c>
      <c r="M504" t="s">
        <v>47</v>
      </c>
      <c r="N504" t="s">
        <v>73</v>
      </c>
    </row>
    <row r="505" spans="1:14" x14ac:dyDescent="0.3">
      <c r="A505">
        <v>43279531</v>
      </c>
      <c r="B505" t="s">
        <v>573</v>
      </c>
      <c r="C505" t="s">
        <v>75</v>
      </c>
      <c r="D505" s="1">
        <v>45481</v>
      </c>
      <c r="E505">
        <v>1348</v>
      </c>
      <c r="F505" t="s">
        <v>16</v>
      </c>
      <c r="G505" t="s">
        <v>55</v>
      </c>
      <c r="H505" t="s">
        <v>40</v>
      </c>
      <c r="I505" t="s">
        <v>72</v>
      </c>
      <c r="J505" t="s">
        <v>57</v>
      </c>
      <c r="K505">
        <v>0</v>
      </c>
      <c r="L505">
        <v>57</v>
      </c>
      <c r="M505" t="s">
        <v>58</v>
      </c>
      <c r="N505" t="s">
        <v>63</v>
      </c>
    </row>
    <row r="506" spans="1:14" x14ac:dyDescent="0.3">
      <c r="A506">
        <v>84876085</v>
      </c>
      <c r="B506" t="s">
        <v>574</v>
      </c>
      <c r="C506" t="s">
        <v>24</v>
      </c>
      <c r="D506" s="1">
        <v>45588</v>
      </c>
      <c r="E506">
        <v>16340</v>
      </c>
      <c r="F506" t="s">
        <v>16</v>
      </c>
      <c r="G506" t="s">
        <v>25</v>
      </c>
      <c r="H506" t="s">
        <v>18</v>
      </c>
      <c r="I506" t="s">
        <v>34</v>
      </c>
      <c r="J506" t="s">
        <v>28</v>
      </c>
      <c r="K506">
        <v>1</v>
      </c>
      <c r="L506">
        <v>52</v>
      </c>
      <c r="M506" t="s">
        <v>21</v>
      </c>
      <c r="N506" t="s">
        <v>59</v>
      </c>
    </row>
    <row r="507" spans="1:14" x14ac:dyDescent="0.3">
      <c r="A507">
        <v>69231583</v>
      </c>
      <c r="B507" t="s">
        <v>575</v>
      </c>
      <c r="C507" t="s">
        <v>31</v>
      </c>
      <c r="D507" s="1">
        <v>45608</v>
      </c>
      <c r="E507">
        <v>22470</v>
      </c>
      <c r="F507" t="s">
        <v>39</v>
      </c>
      <c r="G507" t="s">
        <v>55</v>
      </c>
      <c r="H507" t="s">
        <v>18</v>
      </c>
      <c r="I507" t="s">
        <v>27</v>
      </c>
      <c r="J507" t="s">
        <v>20</v>
      </c>
      <c r="K507">
        <v>0</v>
      </c>
      <c r="L507">
        <v>93</v>
      </c>
      <c r="M507" t="s">
        <v>29</v>
      </c>
      <c r="N507" t="s">
        <v>73</v>
      </c>
    </row>
    <row r="508" spans="1:14" x14ac:dyDescent="0.3">
      <c r="A508">
        <v>29686776</v>
      </c>
      <c r="B508" t="s">
        <v>576</v>
      </c>
      <c r="C508" t="s">
        <v>24</v>
      </c>
      <c r="D508" s="1">
        <v>45378</v>
      </c>
      <c r="E508">
        <v>1513</v>
      </c>
      <c r="F508" t="s">
        <v>39</v>
      </c>
      <c r="G508" t="s">
        <v>25</v>
      </c>
      <c r="H508" t="s">
        <v>103</v>
      </c>
      <c r="I508" t="s">
        <v>72</v>
      </c>
      <c r="J508" t="s">
        <v>85</v>
      </c>
      <c r="K508">
        <v>0</v>
      </c>
      <c r="L508">
        <v>59</v>
      </c>
      <c r="M508" t="s">
        <v>29</v>
      </c>
      <c r="N508" t="s">
        <v>48</v>
      </c>
    </row>
    <row r="509" spans="1:14" x14ac:dyDescent="0.3">
      <c r="A509">
        <v>76081790</v>
      </c>
      <c r="B509" t="s">
        <v>577</v>
      </c>
      <c r="C509" t="s">
        <v>45</v>
      </c>
      <c r="D509" s="1">
        <v>45567</v>
      </c>
      <c r="E509">
        <v>2673</v>
      </c>
      <c r="F509" t="s">
        <v>39</v>
      </c>
      <c r="G509" t="s">
        <v>32</v>
      </c>
      <c r="H509" t="s">
        <v>33</v>
      </c>
      <c r="I509" t="s">
        <v>34</v>
      </c>
      <c r="J509" t="s">
        <v>57</v>
      </c>
      <c r="K509">
        <v>0</v>
      </c>
      <c r="L509">
        <v>36</v>
      </c>
      <c r="M509" t="s">
        <v>42</v>
      </c>
      <c r="N509" t="s">
        <v>59</v>
      </c>
    </row>
    <row r="510" spans="1:14" x14ac:dyDescent="0.3">
      <c r="A510">
        <v>21787913</v>
      </c>
      <c r="B510" t="s">
        <v>578</v>
      </c>
      <c r="C510" t="s">
        <v>75</v>
      </c>
      <c r="D510" s="1">
        <v>45493</v>
      </c>
      <c r="E510">
        <v>15436</v>
      </c>
      <c r="F510" t="s">
        <v>50</v>
      </c>
      <c r="G510" t="s">
        <v>32</v>
      </c>
      <c r="H510" t="s">
        <v>56</v>
      </c>
      <c r="I510" t="s">
        <v>27</v>
      </c>
      <c r="J510" t="s">
        <v>35</v>
      </c>
      <c r="K510">
        <v>1</v>
      </c>
      <c r="L510">
        <v>31</v>
      </c>
      <c r="M510" t="s">
        <v>65</v>
      </c>
      <c r="N510" t="s">
        <v>36</v>
      </c>
    </row>
    <row r="511" spans="1:14" x14ac:dyDescent="0.3">
      <c r="A511">
        <v>14905993</v>
      </c>
      <c r="B511" t="s">
        <v>579</v>
      </c>
      <c r="C511" t="s">
        <v>77</v>
      </c>
      <c r="D511" s="1">
        <v>45626</v>
      </c>
      <c r="E511">
        <v>11291</v>
      </c>
      <c r="F511" t="s">
        <v>61</v>
      </c>
      <c r="G511" t="s">
        <v>71</v>
      </c>
      <c r="H511" t="s">
        <v>46</v>
      </c>
      <c r="I511" t="s">
        <v>72</v>
      </c>
      <c r="J511" t="s">
        <v>52</v>
      </c>
      <c r="K511">
        <v>0</v>
      </c>
      <c r="L511">
        <v>54</v>
      </c>
      <c r="M511" t="s">
        <v>21</v>
      </c>
      <c r="N511" t="s">
        <v>89</v>
      </c>
    </row>
    <row r="512" spans="1:14" x14ac:dyDescent="0.3">
      <c r="A512">
        <v>19105201</v>
      </c>
      <c r="B512" t="s">
        <v>580</v>
      </c>
      <c r="C512" t="s">
        <v>75</v>
      </c>
      <c r="D512" s="1">
        <v>45409</v>
      </c>
      <c r="E512">
        <v>23695</v>
      </c>
      <c r="F512" t="s">
        <v>61</v>
      </c>
      <c r="G512" t="s">
        <v>55</v>
      </c>
      <c r="H512" t="s">
        <v>51</v>
      </c>
      <c r="I512" t="s">
        <v>34</v>
      </c>
      <c r="J512" t="s">
        <v>79</v>
      </c>
      <c r="K512">
        <v>0</v>
      </c>
      <c r="L512">
        <v>24</v>
      </c>
      <c r="M512" t="s">
        <v>21</v>
      </c>
      <c r="N512" t="s">
        <v>46</v>
      </c>
    </row>
    <row r="513" spans="1:14" x14ac:dyDescent="0.3">
      <c r="A513">
        <v>90481613</v>
      </c>
      <c r="B513" t="s">
        <v>581</v>
      </c>
      <c r="C513" t="s">
        <v>24</v>
      </c>
      <c r="D513" s="1">
        <v>45586</v>
      </c>
      <c r="E513">
        <v>15964</v>
      </c>
      <c r="F513" t="s">
        <v>61</v>
      </c>
      <c r="G513" t="s">
        <v>17</v>
      </c>
      <c r="H513" t="s">
        <v>46</v>
      </c>
      <c r="I513" t="s">
        <v>19</v>
      </c>
      <c r="J513" t="s">
        <v>52</v>
      </c>
      <c r="K513">
        <v>0</v>
      </c>
      <c r="L513">
        <v>19</v>
      </c>
      <c r="M513" t="s">
        <v>42</v>
      </c>
      <c r="N513" t="s">
        <v>46</v>
      </c>
    </row>
    <row r="514" spans="1:14" x14ac:dyDescent="0.3">
      <c r="A514">
        <v>63054702</v>
      </c>
      <c r="B514" t="s">
        <v>582</v>
      </c>
      <c r="C514" t="s">
        <v>101</v>
      </c>
      <c r="D514" s="1">
        <v>45550</v>
      </c>
      <c r="E514">
        <v>11046</v>
      </c>
      <c r="F514" t="s">
        <v>39</v>
      </c>
      <c r="G514" t="s">
        <v>55</v>
      </c>
      <c r="H514" t="s">
        <v>51</v>
      </c>
      <c r="I514" t="s">
        <v>34</v>
      </c>
      <c r="J514" t="s">
        <v>85</v>
      </c>
      <c r="K514">
        <v>0</v>
      </c>
      <c r="L514">
        <v>83</v>
      </c>
      <c r="M514" t="s">
        <v>65</v>
      </c>
      <c r="N514" t="s">
        <v>89</v>
      </c>
    </row>
    <row r="515" spans="1:14" x14ac:dyDescent="0.3">
      <c r="A515">
        <v>90598645</v>
      </c>
      <c r="B515" t="s">
        <v>583</v>
      </c>
      <c r="C515" t="s">
        <v>15</v>
      </c>
      <c r="D515" s="1">
        <v>45371</v>
      </c>
      <c r="E515">
        <v>15846</v>
      </c>
      <c r="F515" t="s">
        <v>39</v>
      </c>
      <c r="G515" t="s">
        <v>17</v>
      </c>
      <c r="H515" t="s">
        <v>51</v>
      </c>
      <c r="I515" t="s">
        <v>27</v>
      </c>
      <c r="J515" t="s">
        <v>52</v>
      </c>
      <c r="K515">
        <v>0</v>
      </c>
      <c r="L515">
        <v>83</v>
      </c>
      <c r="M515" t="s">
        <v>29</v>
      </c>
      <c r="N515" t="s">
        <v>63</v>
      </c>
    </row>
    <row r="516" spans="1:14" x14ac:dyDescent="0.3">
      <c r="A516">
        <v>98331068</v>
      </c>
      <c r="B516" t="s">
        <v>584</v>
      </c>
      <c r="C516" t="s">
        <v>31</v>
      </c>
      <c r="D516" s="1">
        <v>45618</v>
      </c>
      <c r="E516">
        <v>2213</v>
      </c>
      <c r="F516" t="s">
        <v>61</v>
      </c>
      <c r="G516" t="s">
        <v>55</v>
      </c>
      <c r="H516" t="s">
        <v>51</v>
      </c>
      <c r="I516" t="s">
        <v>34</v>
      </c>
      <c r="J516" t="s">
        <v>68</v>
      </c>
      <c r="K516">
        <v>0</v>
      </c>
      <c r="L516">
        <v>34</v>
      </c>
      <c r="M516" t="s">
        <v>21</v>
      </c>
      <c r="N516" t="s">
        <v>43</v>
      </c>
    </row>
    <row r="517" spans="1:14" x14ac:dyDescent="0.3">
      <c r="A517">
        <v>81033711</v>
      </c>
      <c r="B517" t="s">
        <v>585</v>
      </c>
      <c r="C517" t="s">
        <v>24</v>
      </c>
      <c r="D517" s="1">
        <v>45516</v>
      </c>
      <c r="E517">
        <v>18755</v>
      </c>
      <c r="F517" t="s">
        <v>39</v>
      </c>
      <c r="G517" t="s">
        <v>71</v>
      </c>
      <c r="H517" t="s">
        <v>33</v>
      </c>
      <c r="I517" t="s">
        <v>34</v>
      </c>
      <c r="J517" t="s">
        <v>20</v>
      </c>
      <c r="K517">
        <v>1</v>
      </c>
      <c r="L517">
        <v>94</v>
      </c>
      <c r="M517" t="s">
        <v>65</v>
      </c>
      <c r="N517" t="s">
        <v>89</v>
      </c>
    </row>
    <row r="518" spans="1:14" x14ac:dyDescent="0.3">
      <c r="A518">
        <v>95619580</v>
      </c>
      <c r="B518" t="s">
        <v>586</v>
      </c>
      <c r="C518" t="s">
        <v>15</v>
      </c>
      <c r="D518" s="1">
        <v>45634</v>
      </c>
      <c r="E518">
        <v>18343</v>
      </c>
      <c r="F518" t="s">
        <v>50</v>
      </c>
      <c r="G518" t="s">
        <v>32</v>
      </c>
      <c r="H518" t="s">
        <v>103</v>
      </c>
      <c r="I518" t="s">
        <v>27</v>
      </c>
      <c r="J518" t="s">
        <v>20</v>
      </c>
      <c r="K518">
        <v>0</v>
      </c>
      <c r="L518">
        <v>68</v>
      </c>
      <c r="M518" t="s">
        <v>42</v>
      </c>
      <c r="N518" t="s">
        <v>43</v>
      </c>
    </row>
    <row r="519" spans="1:14" x14ac:dyDescent="0.3">
      <c r="A519">
        <v>38037043</v>
      </c>
      <c r="B519" t="s">
        <v>587</v>
      </c>
      <c r="C519" t="s">
        <v>31</v>
      </c>
      <c r="D519" s="1">
        <v>45290</v>
      </c>
      <c r="E519">
        <v>6872</v>
      </c>
      <c r="F519" t="s">
        <v>39</v>
      </c>
      <c r="G519" t="s">
        <v>55</v>
      </c>
      <c r="H519" t="s">
        <v>33</v>
      </c>
      <c r="I519" t="s">
        <v>34</v>
      </c>
      <c r="J519" t="s">
        <v>68</v>
      </c>
      <c r="K519">
        <v>1</v>
      </c>
      <c r="L519">
        <v>81</v>
      </c>
      <c r="M519" t="s">
        <v>42</v>
      </c>
      <c r="N519" t="s">
        <v>87</v>
      </c>
    </row>
    <row r="520" spans="1:14" x14ac:dyDescent="0.3">
      <c r="A520">
        <v>58944099</v>
      </c>
      <c r="B520" t="s">
        <v>588</v>
      </c>
      <c r="C520" t="s">
        <v>54</v>
      </c>
      <c r="D520" s="1">
        <v>45342</v>
      </c>
      <c r="E520">
        <v>9995</v>
      </c>
      <c r="F520" t="s">
        <v>61</v>
      </c>
      <c r="G520" t="s">
        <v>32</v>
      </c>
      <c r="H520" t="s">
        <v>26</v>
      </c>
      <c r="I520" t="s">
        <v>34</v>
      </c>
      <c r="J520" t="s">
        <v>57</v>
      </c>
      <c r="K520">
        <v>0</v>
      </c>
      <c r="L520">
        <v>57</v>
      </c>
      <c r="M520" t="s">
        <v>42</v>
      </c>
      <c r="N520" t="s">
        <v>63</v>
      </c>
    </row>
    <row r="521" spans="1:14" x14ac:dyDescent="0.3">
      <c r="A521">
        <v>86449237</v>
      </c>
      <c r="B521" t="s">
        <v>589</v>
      </c>
      <c r="C521" t="s">
        <v>70</v>
      </c>
      <c r="D521" s="1">
        <v>45277</v>
      </c>
      <c r="E521">
        <v>14151</v>
      </c>
      <c r="F521" t="s">
        <v>16</v>
      </c>
      <c r="G521" t="s">
        <v>71</v>
      </c>
      <c r="H521" t="s">
        <v>103</v>
      </c>
      <c r="I521" t="s">
        <v>72</v>
      </c>
      <c r="J521" t="s">
        <v>79</v>
      </c>
      <c r="K521">
        <v>1</v>
      </c>
      <c r="L521">
        <v>53</v>
      </c>
      <c r="M521" t="s">
        <v>47</v>
      </c>
      <c r="N521" t="s">
        <v>43</v>
      </c>
    </row>
    <row r="522" spans="1:14" x14ac:dyDescent="0.3">
      <c r="A522">
        <v>14555964</v>
      </c>
      <c r="B522" t="s">
        <v>590</v>
      </c>
      <c r="C522" t="s">
        <v>77</v>
      </c>
      <c r="D522" s="1">
        <v>45453</v>
      </c>
      <c r="E522">
        <v>23700</v>
      </c>
      <c r="F522" t="s">
        <v>50</v>
      </c>
      <c r="G522" t="s">
        <v>17</v>
      </c>
      <c r="H522" t="s">
        <v>81</v>
      </c>
      <c r="I522" t="s">
        <v>27</v>
      </c>
      <c r="J522" t="s">
        <v>41</v>
      </c>
      <c r="K522">
        <v>0</v>
      </c>
      <c r="L522">
        <v>92</v>
      </c>
      <c r="M522" t="s">
        <v>21</v>
      </c>
      <c r="N522" t="s">
        <v>63</v>
      </c>
    </row>
    <row r="523" spans="1:14" x14ac:dyDescent="0.3">
      <c r="A523">
        <v>82762674</v>
      </c>
      <c r="B523" t="s">
        <v>591</v>
      </c>
      <c r="C523" t="s">
        <v>75</v>
      </c>
      <c r="D523" s="1">
        <v>45424</v>
      </c>
      <c r="E523">
        <v>5273</v>
      </c>
      <c r="F523" t="s">
        <v>16</v>
      </c>
      <c r="G523" t="s">
        <v>17</v>
      </c>
      <c r="H523" t="s">
        <v>62</v>
      </c>
      <c r="I523" t="s">
        <v>34</v>
      </c>
      <c r="J523" t="s">
        <v>41</v>
      </c>
      <c r="K523">
        <v>1</v>
      </c>
      <c r="L523">
        <v>68</v>
      </c>
      <c r="M523" t="s">
        <v>47</v>
      </c>
      <c r="N523" t="s">
        <v>87</v>
      </c>
    </row>
    <row r="524" spans="1:14" x14ac:dyDescent="0.3">
      <c r="A524">
        <v>14067224</v>
      </c>
      <c r="B524" t="s">
        <v>592</v>
      </c>
      <c r="C524" t="s">
        <v>24</v>
      </c>
      <c r="D524" s="1">
        <v>45501</v>
      </c>
      <c r="E524">
        <v>14572</v>
      </c>
      <c r="F524" t="s">
        <v>61</v>
      </c>
      <c r="G524" t="s">
        <v>71</v>
      </c>
      <c r="H524" t="s">
        <v>26</v>
      </c>
      <c r="I524" t="s">
        <v>27</v>
      </c>
      <c r="J524" t="s">
        <v>41</v>
      </c>
      <c r="K524">
        <v>0</v>
      </c>
      <c r="L524">
        <v>91</v>
      </c>
      <c r="M524" t="s">
        <v>21</v>
      </c>
      <c r="N524" t="s">
        <v>43</v>
      </c>
    </row>
    <row r="525" spans="1:14" x14ac:dyDescent="0.3">
      <c r="A525">
        <v>62814476</v>
      </c>
      <c r="B525" t="s">
        <v>593</v>
      </c>
      <c r="C525" t="s">
        <v>31</v>
      </c>
      <c r="D525" s="1">
        <v>45576</v>
      </c>
      <c r="E525">
        <v>7532</v>
      </c>
      <c r="F525" t="s">
        <v>39</v>
      </c>
      <c r="G525" t="s">
        <v>55</v>
      </c>
      <c r="H525" t="s">
        <v>62</v>
      </c>
      <c r="I525" t="s">
        <v>34</v>
      </c>
      <c r="J525" t="s">
        <v>68</v>
      </c>
      <c r="K525">
        <v>1</v>
      </c>
      <c r="L525">
        <v>56</v>
      </c>
      <c r="M525" t="s">
        <v>29</v>
      </c>
      <c r="N525" t="s">
        <v>63</v>
      </c>
    </row>
    <row r="526" spans="1:14" x14ac:dyDescent="0.3">
      <c r="A526">
        <v>59683408</v>
      </c>
      <c r="B526" t="s">
        <v>594</v>
      </c>
      <c r="C526" t="s">
        <v>45</v>
      </c>
      <c r="D526" s="1">
        <v>45423</v>
      </c>
      <c r="E526">
        <v>531</v>
      </c>
      <c r="F526" t="s">
        <v>39</v>
      </c>
      <c r="G526" t="s">
        <v>71</v>
      </c>
      <c r="H526" t="s">
        <v>18</v>
      </c>
      <c r="I526" t="s">
        <v>27</v>
      </c>
      <c r="J526" t="s">
        <v>68</v>
      </c>
      <c r="K526">
        <v>0</v>
      </c>
      <c r="L526">
        <v>61</v>
      </c>
      <c r="M526" t="s">
        <v>21</v>
      </c>
      <c r="N526" t="s">
        <v>22</v>
      </c>
    </row>
    <row r="527" spans="1:14" x14ac:dyDescent="0.3">
      <c r="A527">
        <v>54062470</v>
      </c>
      <c r="B527" t="s">
        <v>595</v>
      </c>
      <c r="C527" t="s">
        <v>54</v>
      </c>
      <c r="D527" s="1">
        <v>45577</v>
      </c>
      <c r="E527">
        <v>12992</v>
      </c>
      <c r="F527" t="s">
        <v>61</v>
      </c>
      <c r="G527" t="s">
        <v>17</v>
      </c>
      <c r="H527" t="s">
        <v>81</v>
      </c>
      <c r="I527" t="s">
        <v>72</v>
      </c>
      <c r="J527" t="s">
        <v>28</v>
      </c>
      <c r="K527">
        <v>0</v>
      </c>
      <c r="L527">
        <v>61</v>
      </c>
      <c r="M527" t="s">
        <v>29</v>
      </c>
      <c r="N527" t="s">
        <v>22</v>
      </c>
    </row>
    <row r="528" spans="1:14" x14ac:dyDescent="0.3">
      <c r="A528">
        <v>33428261</v>
      </c>
      <c r="B528" t="s">
        <v>596</v>
      </c>
      <c r="C528" t="s">
        <v>31</v>
      </c>
      <c r="D528" s="1">
        <v>45435</v>
      </c>
      <c r="E528">
        <v>18548</v>
      </c>
      <c r="F528" t="s">
        <v>39</v>
      </c>
      <c r="G528" t="s">
        <v>17</v>
      </c>
      <c r="H528" t="s">
        <v>81</v>
      </c>
      <c r="I528" t="s">
        <v>27</v>
      </c>
      <c r="J528" t="s">
        <v>79</v>
      </c>
      <c r="K528">
        <v>0</v>
      </c>
      <c r="L528">
        <v>62</v>
      </c>
      <c r="M528" t="s">
        <v>58</v>
      </c>
      <c r="N528" t="s">
        <v>89</v>
      </c>
    </row>
    <row r="529" spans="1:14" x14ac:dyDescent="0.3">
      <c r="A529">
        <v>15839257</v>
      </c>
      <c r="B529" t="s">
        <v>597</v>
      </c>
      <c r="C529" t="s">
        <v>31</v>
      </c>
      <c r="D529" s="1">
        <v>45601</v>
      </c>
      <c r="E529">
        <v>3692</v>
      </c>
      <c r="F529" t="s">
        <v>16</v>
      </c>
      <c r="G529" t="s">
        <v>55</v>
      </c>
      <c r="H529" t="s">
        <v>103</v>
      </c>
      <c r="I529" t="s">
        <v>72</v>
      </c>
      <c r="J529" t="s">
        <v>85</v>
      </c>
      <c r="K529">
        <v>0</v>
      </c>
      <c r="L529">
        <v>28</v>
      </c>
      <c r="M529" t="s">
        <v>29</v>
      </c>
      <c r="N529" t="s">
        <v>63</v>
      </c>
    </row>
    <row r="530" spans="1:14" x14ac:dyDescent="0.3">
      <c r="A530">
        <v>19550178</v>
      </c>
      <c r="B530" t="s">
        <v>598</v>
      </c>
      <c r="C530" t="s">
        <v>24</v>
      </c>
      <c r="D530" s="1">
        <v>45581</v>
      </c>
      <c r="E530">
        <v>4134</v>
      </c>
      <c r="F530" t="s">
        <v>16</v>
      </c>
      <c r="G530" t="s">
        <v>55</v>
      </c>
      <c r="H530" t="s">
        <v>103</v>
      </c>
      <c r="I530" t="s">
        <v>34</v>
      </c>
      <c r="J530" t="s">
        <v>35</v>
      </c>
      <c r="K530">
        <v>0</v>
      </c>
      <c r="L530">
        <v>55</v>
      </c>
      <c r="M530" t="s">
        <v>21</v>
      </c>
      <c r="N530" t="s">
        <v>73</v>
      </c>
    </row>
    <row r="531" spans="1:14" x14ac:dyDescent="0.3">
      <c r="A531">
        <v>54727070</v>
      </c>
      <c r="B531" t="s">
        <v>599</v>
      </c>
      <c r="C531" t="s">
        <v>75</v>
      </c>
      <c r="D531" s="1">
        <v>45313</v>
      </c>
      <c r="E531">
        <v>4935</v>
      </c>
      <c r="F531" t="s">
        <v>50</v>
      </c>
      <c r="G531" t="s">
        <v>55</v>
      </c>
      <c r="H531" t="s">
        <v>26</v>
      </c>
      <c r="I531" t="s">
        <v>27</v>
      </c>
      <c r="J531" t="s">
        <v>68</v>
      </c>
      <c r="K531">
        <v>0</v>
      </c>
      <c r="L531">
        <v>94</v>
      </c>
      <c r="M531" t="s">
        <v>58</v>
      </c>
      <c r="N531" t="s">
        <v>22</v>
      </c>
    </row>
    <row r="532" spans="1:14" x14ac:dyDescent="0.3">
      <c r="A532">
        <v>11890055</v>
      </c>
      <c r="B532" t="s">
        <v>600</v>
      </c>
      <c r="C532" t="s">
        <v>70</v>
      </c>
      <c r="D532" s="1">
        <v>45380</v>
      </c>
      <c r="E532">
        <v>17093</v>
      </c>
      <c r="F532" t="s">
        <v>61</v>
      </c>
      <c r="G532" t="s">
        <v>17</v>
      </c>
      <c r="H532" t="s">
        <v>33</v>
      </c>
      <c r="I532" t="s">
        <v>72</v>
      </c>
      <c r="J532" t="s">
        <v>79</v>
      </c>
      <c r="K532">
        <v>0</v>
      </c>
      <c r="L532">
        <v>21</v>
      </c>
      <c r="M532" t="s">
        <v>21</v>
      </c>
      <c r="N532" t="s">
        <v>89</v>
      </c>
    </row>
    <row r="533" spans="1:14" x14ac:dyDescent="0.3">
      <c r="A533">
        <v>24122962</v>
      </c>
      <c r="B533" t="s">
        <v>601</v>
      </c>
      <c r="C533" t="s">
        <v>31</v>
      </c>
      <c r="D533" s="1">
        <v>45547</v>
      </c>
      <c r="E533">
        <v>7208</v>
      </c>
      <c r="F533" t="s">
        <v>39</v>
      </c>
      <c r="G533" t="s">
        <v>25</v>
      </c>
      <c r="H533" t="s">
        <v>103</v>
      </c>
      <c r="I533" t="s">
        <v>34</v>
      </c>
      <c r="J533" t="s">
        <v>79</v>
      </c>
      <c r="K533">
        <v>0</v>
      </c>
      <c r="L533">
        <v>33</v>
      </c>
      <c r="M533" t="s">
        <v>42</v>
      </c>
      <c r="N533" t="s">
        <v>89</v>
      </c>
    </row>
    <row r="534" spans="1:14" x14ac:dyDescent="0.3">
      <c r="A534">
        <v>17341608</v>
      </c>
      <c r="B534" t="s">
        <v>602</v>
      </c>
      <c r="C534" t="s">
        <v>38</v>
      </c>
      <c r="D534" s="1">
        <v>45278</v>
      </c>
      <c r="E534">
        <v>11235</v>
      </c>
      <c r="F534" t="s">
        <v>50</v>
      </c>
      <c r="G534" t="s">
        <v>25</v>
      </c>
      <c r="H534" t="s">
        <v>81</v>
      </c>
      <c r="I534" t="s">
        <v>27</v>
      </c>
      <c r="J534" t="s">
        <v>41</v>
      </c>
      <c r="K534">
        <v>0</v>
      </c>
      <c r="L534">
        <v>29</v>
      </c>
      <c r="M534" t="s">
        <v>29</v>
      </c>
      <c r="N534" t="s">
        <v>48</v>
      </c>
    </row>
    <row r="535" spans="1:14" x14ac:dyDescent="0.3">
      <c r="A535">
        <v>48659992</v>
      </c>
      <c r="B535" t="s">
        <v>603</v>
      </c>
      <c r="C535" t="s">
        <v>45</v>
      </c>
      <c r="D535" s="1">
        <v>45627</v>
      </c>
      <c r="E535">
        <v>23968</v>
      </c>
      <c r="F535" t="s">
        <v>39</v>
      </c>
      <c r="G535" t="s">
        <v>71</v>
      </c>
      <c r="H535" t="s">
        <v>40</v>
      </c>
      <c r="I535" t="s">
        <v>27</v>
      </c>
      <c r="J535" t="s">
        <v>28</v>
      </c>
      <c r="K535">
        <v>0</v>
      </c>
      <c r="L535">
        <v>46</v>
      </c>
      <c r="M535" t="s">
        <v>42</v>
      </c>
      <c r="N535" t="s">
        <v>43</v>
      </c>
    </row>
    <row r="536" spans="1:14" x14ac:dyDescent="0.3">
      <c r="A536">
        <v>82163090</v>
      </c>
      <c r="B536" t="s">
        <v>604</v>
      </c>
      <c r="C536" t="s">
        <v>31</v>
      </c>
      <c r="D536" s="1">
        <v>45530</v>
      </c>
      <c r="E536">
        <v>19838</v>
      </c>
      <c r="F536" t="s">
        <v>39</v>
      </c>
      <c r="G536" t="s">
        <v>32</v>
      </c>
      <c r="H536" t="s">
        <v>40</v>
      </c>
      <c r="I536" t="s">
        <v>72</v>
      </c>
      <c r="J536" t="s">
        <v>52</v>
      </c>
      <c r="K536">
        <v>1</v>
      </c>
      <c r="L536">
        <v>18</v>
      </c>
      <c r="M536" t="s">
        <v>47</v>
      </c>
      <c r="N536" t="s">
        <v>36</v>
      </c>
    </row>
    <row r="537" spans="1:14" x14ac:dyDescent="0.3">
      <c r="A537">
        <v>96185806</v>
      </c>
      <c r="B537" t="s">
        <v>605</v>
      </c>
      <c r="C537" t="s">
        <v>70</v>
      </c>
      <c r="D537" s="1">
        <v>45497</v>
      </c>
      <c r="E537">
        <v>4165</v>
      </c>
      <c r="F537" t="s">
        <v>61</v>
      </c>
      <c r="G537" t="s">
        <v>32</v>
      </c>
      <c r="H537" t="s">
        <v>40</v>
      </c>
      <c r="I537" t="s">
        <v>34</v>
      </c>
      <c r="J537" t="s">
        <v>35</v>
      </c>
      <c r="K537">
        <v>1</v>
      </c>
      <c r="L537">
        <v>75</v>
      </c>
      <c r="M537" t="s">
        <v>65</v>
      </c>
      <c r="N537" t="s">
        <v>43</v>
      </c>
    </row>
    <row r="538" spans="1:14" x14ac:dyDescent="0.3">
      <c r="A538">
        <v>27163175</v>
      </c>
      <c r="B538" t="s">
        <v>606</v>
      </c>
      <c r="C538" t="s">
        <v>38</v>
      </c>
      <c r="D538" s="1">
        <v>45461</v>
      </c>
      <c r="E538">
        <v>19523</v>
      </c>
      <c r="F538" t="s">
        <v>61</v>
      </c>
      <c r="G538" t="s">
        <v>71</v>
      </c>
      <c r="H538" t="s">
        <v>56</v>
      </c>
      <c r="I538" t="s">
        <v>27</v>
      </c>
      <c r="J538" t="s">
        <v>52</v>
      </c>
      <c r="K538">
        <v>1</v>
      </c>
      <c r="L538">
        <v>24</v>
      </c>
      <c r="M538" t="s">
        <v>42</v>
      </c>
      <c r="N538" t="s">
        <v>59</v>
      </c>
    </row>
    <row r="539" spans="1:14" x14ac:dyDescent="0.3">
      <c r="A539">
        <v>25986512</v>
      </c>
      <c r="B539" t="s">
        <v>607</v>
      </c>
      <c r="C539" t="s">
        <v>101</v>
      </c>
      <c r="D539" s="1">
        <v>45424</v>
      </c>
      <c r="E539">
        <v>8782</v>
      </c>
      <c r="F539" t="s">
        <v>39</v>
      </c>
      <c r="G539" t="s">
        <v>17</v>
      </c>
      <c r="H539" t="s">
        <v>51</v>
      </c>
      <c r="I539" t="s">
        <v>34</v>
      </c>
      <c r="J539" t="s">
        <v>57</v>
      </c>
      <c r="K539">
        <v>1</v>
      </c>
      <c r="L539">
        <v>64</v>
      </c>
      <c r="M539" t="s">
        <v>29</v>
      </c>
      <c r="N539" t="s">
        <v>22</v>
      </c>
    </row>
    <row r="540" spans="1:14" x14ac:dyDescent="0.3">
      <c r="A540">
        <v>68829275</v>
      </c>
      <c r="B540" t="s">
        <v>608</v>
      </c>
      <c r="C540" t="s">
        <v>31</v>
      </c>
      <c r="D540" s="1">
        <v>45575</v>
      </c>
      <c r="E540">
        <v>13928</v>
      </c>
      <c r="F540" t="s">
        <v>39</v>
      </c>
      <c r="G540" t="s">
        <v>17</v>
      </c>
      <c r="H540" t="s">
        <v>18</v>
      </c>
      <c r="I540" t="s">
        <v>19</v>
      </c>
      <c r="J540" t="s">
        <v>68</v>
      </c>
      <c r="K540">
        <v>1</v>
      </c>
      <c r="L540">
        <v>71</v>
      </c>
      <c r="M540" t="s">
        <v>65</v>
      </c>
      <c r="N540" t="s">
        <v>43</v>
      </c>
    </row>
    <row r="541" spans="1:14" x14ac:dyDescent="0.3">
      <c r="A541">
        <v>31569645</v>
      </c>
      <c r="B541" t="s">
        <v>609</v>
      </c>
      <c r="C541" t="s">
        <v>54</v>
      </c>
      <c r="D541" s="1">
        <v>45527</v>
      </c>
      <c r="E541">
        <v>10383</v>
      </c>
      <c r="F541" t="s">
        <v>16</v>
      </c>
      <c r="G541" t="s">
        <v>25</v>
      </c>
      <c r="H541" t="s">
        <v>51</v>
      </c>
      <c r="I541" t="s">
        <v>19</v>
      </c>
      <c r="J541" t="s">
        <v>35</v>
      </c>
      <c r="K541">
        <v>0</v>
      </c>
      <c r="L541">
        <v>83</v>
      </c>
      <c r="M541" t="s">
        <v>21</v>
      </c>
      <c r="N541" t="s">
        <v>87</v>
      </c>
    </row>
    <row r="542" spans="1:14" x14ac:dyDescent="0.3">
      <c r="A542">
        <v>13646961</v>
      </c>
      <c r="B542" t="s">
        <v>610</v>
      </c>
      <c r="C542" t="s">
        <v>38</v>
      </c>
      <c r="D542" s="1">
        <v>45283</v>
      </c>
      <c r="E542">
        <v>6759</v>
      </c>
      <c r="F542" t="s">
        <v>39</v>
      </c>
      <c r="G542" t="s">
        <v>17</v>
      </c>
      <c r="H542" t="s">
        <v>33</v>
      </c>
      <c r="I542" t="s">
        <v>34</v>
      </c>
      <c r="J542" t="s">
        <v>57</v>
      </c>
      <c r="K542">
        <v>0</v>
      </c>
      <c r="L542">
        <v>69</v>
      </c>
      <c r="M542" t="s">
        <v>29</v>
      </c>
      <c r="N542" t="s">
        <v>48</v>
      </c>
    </row>
    <row r="543" spans="1:14" x14ac:dyDescent="0.3">
      <c r="A543">
        <v>36775224</v>
      </c>
      <c r="B543" t="s">
        <v>611</v>
      </c>
      <c r="C543" t="s">
        <v>15</v>
      </c>
      <c r="D543" s="1">
        <v>45431</v>
      </c>
      <c r="E543">
        <v>23692</v>
      </c>
      <c r="F543" t="s">
        <v>39</v>
      </c>
      <c r="G543" t="s">
        <v>17</v>
      </c>
      <c r="H543" t="s">
        <v>62</v>
      </c>
      <c r="I543" t="s">
        <v>34</v>
      </c>
      <c r="J543" t="s">
        <v>28</v>
      </c>
      <c r="K543">
        <v>1</v>
      </c>
      <c r="L543">
        <v>39</v>
      </c>
      <c r="M543" t="s">
        <v>47</v>
      </c>
      <c r="N543" t="s">
        <v>89</v>
      </c>
    </row>
    <row r="544" spans="1:14" x14ac:dyDescent="0.3">
      <c r="A544">
        <v>92955006</v>
      </c>
      <c r="B544" t="s">
        <v>612</v>
      </c>
      <c r="C544" t="s">
        <v>77</v>
      </c>
      <c r="D544" s="1">
        <v>45284</v>
      </c>
      <c r="E544">
        <v>21502</v>
      </c>
      <c r="F544" t="s">
        <v>39</v>
      </c>
      <c r="G544" t="s">
        <v>55</v>
      </c>
      <c r="H544" t="s">
        <v>46</v>
      </c>
      <c r="I544" t="s">
        <v>19</v>
      </c>
      <c r="J544" t="s">
        <v>68</v>
      </c>
      <c r="K544">
        <v>0</v>
      </c>
      <c r="L544">
        <v>86</v>
      </c>
      <c r="M544" t="s">
        <v>58</v>
      </c>
      <c r="N544" t="s">
        <v>36</v>
      </c>
    </row>
    <row r="545" spans="1:14" x14ac:dyDescent="0.3">
      <c r="A545">
        <v>77634603</v>
      </c>
      <c r="B545" t="s">
        <v>613</v>
      </c>
      <c r="C545" t="s">
        <v>15</v>
      </c>
      <c r="D545" s="1">
        <v>45573</v>
      </c>
      <c r="E545">
        <v>10434</v>
      </c>
      <c r="F545" t="s">
        <v>39</v>
      </c>
      <c r="G545" t="s">
        <v>17</v>
      </c>
      <c r="H545" t="s">
        <v>33</v>
      </c>
      <c r="I545" t="s">
        <v>34</v>
      </c>
      <c r="J545" t="s">
        <v>52</v>
      </c>
      <c r="K545">
        <v>0</v>
      </c>
      <c r="L545">
        <v>73</v>
      </c>
      <c r="M545" t="s">
        <v>47</v>
      </c>
      <c r="N545" t="s">
        <v>87</v>
      </c>
    </row>
    <row r="546" spans="1:14" x14ac:dyDescent="0.3">
      <c r="A546">
        <v>12355936</v>
      </c>
      <c r="B546" t="s">
        <v>614</v>
      </c>
      <c r="C546" t="s">
        <v>70</v>
      </c>
      <c r="D546" s="1">
        <v>45400</v>
      </c>
      <c r="E546">
        <v>5637</v>
      </c>
      <c r="F546" t="s">
        <v>50</v>
      </c>
      <c r="G546" t="s">
        <v>71</v>
      </c>
      <c r="H546" t="s">
        <v>26</v>
      </c>
      <c r="I546" t="s">
        <v>34</v>
      </c>
      <c r="J546" t="s">
        <v>28</v>
      </c>
      <c r="K546">
        <v>0</v>
      </c>
      <c r="L546">
        <v>41</v>
      </c>
      <c r="M546" t="s">
        <v>58</v>
      </c>
      <c r="N546" t="s">
        <v>59</v>
      </c>
    </row>
    <row r="547" spans="1:14" x14ac:dyDescent="0.3">
      <c r="A547">
        <v>66384410</v>
      </c>
      <c r="B547" t="s">
        <v>615</v>
      </c>
      <c r="C547" t="s">
        <v>75</v>
      </c>
      <c r="D547" s="1">
        <v>45330</v>
      </c>
      <c r="E547">
        <v>318</v>
      </c>
      <c r="F547" t="s">
        <v>61</v>
      </c>
      <c r="G547" t="s">
        <v>17</v>
      </c>
      <c r="H547" t="s">
        <v>62</v>
      </c>
      <c r="I547" t="s">
        <v>27</v>
      </c>
      <c r="J547" t="s">
        <v>20</v>
      </c>
      <c r="K547">
        <v>0</v>
      </c>
      <c r="L547">
        <v>84</v>
      </c>
      <c r="M547" t="s">
        <v>58</v>
      </c>
      <c r="N547" t="s">
        <v>63</v>
      </c>
    </row>
    <row r="548" spans="1:14" x14ac:dyDescent="0.3">
      <c r="A548">
        <v>86824273</v>
      </c>
      <c r="B548" t="s">
        <v>616</v>
      </c>
      <c r="C548" t="s">
        <v>75</v>
      </c>
      <c r="D548" s="1">
        <v>45437</v>
      </c>
      <c r="E548">
        <v>6301</v>
      </c>
      <c r="F548" t="s">
        <v>61</v>
      </c>
      <c r="G548" t="s">
        <v>25</v>
      </c>
      <c r="H548" t="s">
        <v>26</v>
      </c>
      <c r="I548" t="s">
        <v>34</v>
      </c>
      <c r="J548" t="s">
        <v>68</v>
      </c>
      <c r="K548">
        <v>0</v>
      </c>
      <c r="L548">
        <v>17</v>
      </c>
      <c r="M548" t="s">
        <v>47</v>
      </c>
      <c r="N548" t="s">
        <v>43</v>
      </c>
    </row>
    <row r="549" spans="1:14" x14ac:dyDescent="0.3">
      <c r="A549">
        <v>10953387</v>
      </c>
      <c r="B549" t="s">
        <v>617</v>
      </c>
      <c r="C549" t="s">
        <v>101</v>
      </c>
      <c r="D549" s="1">
        <v>45362</v>
      </c>
      <c r="E549">
        <v>4958</v>
      </c>
      <c r="F549" t="s">
        <v>39</v>
      </c>
      <c r="G549" t="s">
        <v>17</v>
      </c>
      <c r="H549" t="s">
        <v>18</v>
      </c>
      <c r="I549" t="s">
        <v>19</v>
      </c>
      <c r="J549" t="s">
        <v>85</v>
      </c>
      <c r="K549">
        <v>1</v>
      </c>
      <c r="L549">
        <v>74</v>
      </c>
      <c r="M549" t="s">
        <v>29</v>
      </c>
      <c r="N549" t="s">
        <v>43</v>
      </c>
    </row>
    <row r="550" spans="1:14" x14ac:dyDescent="0.3">
      <c r="A550">
        <v>34898433</v>
      </c>
      <c r="B550" t="s">
        <v>618</v>
      </c>
      <c r="C550" t="s">
        <v>15</v>
      </c>
      <c r="D550" s="1">
        <v>45529</v>
      </c>
      <c r="E550">
        <v>7135</v>
      </c>
      <c r="F550" t="s">
        <v>16</v>
      </c>
      <c r="G550" t="s">
        <v>32</v>
      </c>
      <c r="H550" t="s">
        <v>18</v>
      </c>
      <c r="I550" t="s">
        <v>72</v>
      </c>
      <c r="J550" t="s">
        <v>85</v>
      </c>
      <c r="K550">
        <v>1</v>
      </c>
      <c r="L550">
        <v>13</v>
      </c>
      <c r="M550" t="s">
        <v>21</v>
      </c>
      <c r="N550" t="s">
        <v>22</v>
      </c>
    </row>
    <row r="551" spans="1:14" x14ac:dyDescent="0.3">
      <c r="A551">
        <v>33693698</v>
      </c>
      <c r="B551" t="s">
        <v>619</v>
      </c>
      <c r="C551" t="s">
        <v>77</v>
      </c>
      <c r="D551" s="1">
        <v>45477</v>
      </c>
      <c r="E551">
        <v>6126</v>
      </c>
      <c r="F551" t="s">
        <v>39</v>
      </c>
      <c r="G551" t="s">
        <v>32</v>
      </c>
      <c r="H551" t="s">
        <v>26</v>
      </c>
      <c r="I551" t="s">
        <v>19</v>
      </c>
      <c r="J551" t="s">
        <v>20</v>
      </c>
      <c r="K551">
        <v>1</v>
      </c>
      <c r="L551">
        <v>58</v>
      </c>
      <c r="M551" t="s">
        <v>42</v>
      </c>
      <c r="N551" t="s">
        <v>36</v>
      </c>
    </row>
    <row r="552" spans="1:14" x14ac:dyDescent="0.3">
      <c r="A552">
        <v>57786210</v>
      </c>
      <c r="B552" t="s">
        <v>620</v>
      </c>
      <c r="C552" t="s">
        <v>101</v>
      </c>
      <c r="D552" s="1">
        <v>45373</v>
      </c>
      <c r="E552">
        <v>23061</v>
      </c>
      <c r="F552" t="s">
        <v>61</v>
      </c>
      <c r="G552" t="s">
        <v>32</v>
      </c>
      <c r="H552" t="s">
        <v>26</v>
      </c>
      <c r="I552" t="s">
        <v>19</v>
      </c>
      <c r="J552" t="s">
        <v>35</v>
      </c>
      <c r="K552">
        <v>0</v>
      </c>
      <c r="L552">
        <v>44</v>
      </c>
      <c r="M552" t="s">
        <v>21</v>
      </c>
      <c r="N552" t="s">
        <v>22</v>
      </c>
    </row>
    <row r="553" spans="1:14" x14ac:dyDescent="0.3">
      <c r="A553">
        <v>93278304</v>
      </c>
      <c r="B553" t="s">
        <v>621</v>
      </c>
      <c r="C553" t="s">
        <v>24</v>
      </c>
      <c r="D553" s="1">
        <v>45591</v>
      </c>
      <c r="E553">
        <v>17676</v>
      </c>
      <c r="F553" t="s">
        <v>16</v>
      </c>
      <c r="G553" t="s">
        <v>17</v>
      </c>
      <c r="H553" t="s">
        <v>81</v>
      </c>
      <c r="I553" t="s">
        <v>19</v>
      </c>
      <c r="J553" t="s">
        <v>68</v>
      </c>
      <c r="K553">
        <v>0</v>
      </c>
      <c r="L553">
        <v>84</v>
      </c>
      <c r="M553" t="s">
        <v>29</v>
      </c>
      <c r="N553" t="s">
        <v>48</v>
      </c>
    </row>
    <row r="554" spans="1:14" x14ac:dyDescent="0.3">
      <c r="A554">
        <v>68007802</v>
      </c>
      <c r="B554" t="s">
        <v>622</v>
      </c>
      <c r="C554" t="s">
        <v>38</v>
      </c>
      <c r="D554" s="1">
        <v>45636</v>
      </c>
      <c r="E554">
        <v>22515</v>
      </c>
      <c r="F554" t="s">
        <v>39</v>
      </c>
      <c r="G554" t="s">
        <v>25</v>
      </c>
      <c r="H554" t="s">
        <v>51</v>
      </c>
      <c r="I554" t="s">
        <v>19</v>
      </c>
      <c r="J554" t="s">
        <v>68</v>
      </c>
      <c r="K554">
        <v>0</v>
      </c>
      <c r="L554">
        <v>26</v>
      </c>
      <c r="M554" t="s">
        <v>29</v>
      </c>
      <c r="N554" t="s">
        <v>87</v>
      </c>
    </row>
    <row r="555" spans="1:14" x14ac:dyDescent="0.3">
      <c r="A555">
        <v>46373337</v>
      </c>
      <c r="B555" t="s">
        <v>623</v>
      </c>
      <c r="C555" t="s">
        <v>54</v>
      </c>
      <c r="D555" s="1">
        <v>45493</v>
      </c>
      <c r="E555">
        <v>1238</v>
      </c>
      <c r="F555" t="s">
        <v>61</v>
      </c>
      <c r="G555" t="s">
        <v>32</v>
      </c>
      <c r="H555" t="s">
        <v>51</v>
      </c>
      <c r="I555" t="s">
        <v>72</v>
      </c>
      <c r="J555" t="s">
        <v>57</v>
      </c>
      <c r="K555">
        <v>0</v>
      </c>
      <c r="L555">
        <v>32</v>
      </c>
      <c r="M555" t="s">
        <v>65</v>
      </c>
      <c r="N555" t="s">
        <v>63</v>
      </c>
    </row>
    <row r="556" spans="1:14" x14ac:dyDescent="0.3">
      <c r="A556">
        <v>64437920</v>
      </c>
      <c r="B556" t="s">
        <v>624</v>
      </c>
      <c r="C556" t="s">
        <v>24</v>
      </c>
      <c r="D556" s="1">
        <v>45376</v>
      </c>
      <c r="E556">
        <v>24776</v>
      </c>
      <c r="F556" t="s">
        <v>39</v>
      </c>
      <c r="G556" t="s">
        <v>17</v>
      </c>
      <c r="H556" t="s">
        <v>56</v>
      </c>
      <c r="I556" t="s">
        <v>34</v>
      </c>
      <c r="J556" t="s">
        <v>41</v>
      </c>
      <c r="K556">
        <v>1</v>
      </c>
      <c r="L556">
        <v>83</v>
      </c>
      <c r="M556" t="s">
        <v>47</v>
      </c>
      <c r="N556" t="s">
        <v>22</v>
      </c>
    </row>
    <row r="557" spans="1:14" x14ac:dyDescent="0.3">
      <c r="A557">
        <v>96541868</v>
      </c>
      <c r="B557" t="s">
        <v>625</v>
      </c>
      <c r="C557" t="s">
        <v>77</v>
      </c>
      <c r="D557" s="1">
        <v>45375</v>
      </c>
      <c r="E557">
        <v>5378</v>
      </c>
      <c r="F557" t="s">
        <v>16</v>
      </c>
      <c r="G557" t="s">
        <v>25</v>
      </c>
      <c r="H557" t="s">
        <v>62</v>
      </c>
      <c r="I557" t="s">
        <v>72</v>
      </c>
      <c r="J557" t="s">
        <v>41</v>
      </c>
      <c r="K557">
        <v>0</v>
      </c>
      <c r="L557">
        <v>74</v>
      </c>
      <c r="M557" t="s">
        <v>47</v>
      </c>
      <c r="N557" t="s">
        <v>43</v>
      </c>
    </row>
    <row r="558" spans="1:14" x14ac:dyDescent="0.3">
      <c r="A558">
        <v>33074047</v>
      </c>
      <c r="B558" t="s">
        <v>626</v>
      </c>
      <c r="C558" t="s">
        <v>75</v>
      </c>
      <c r="D558" s="1">
        <v>45447</v>
      </c>
      <c r="E558">
        <v>4441</v>
      </c>
      <c r="F558" t="s">
        <v>16</v>
      </c>
      <c r="G558" t="s">
        <v>71</v>
      </c>
      <c r="H558" t="s">
        <v>33</v>
      </c>
      <c r="I558" t="s">
        <v>27</v>
      </c>
      <c r="J558" t="s">
        <v>57</v>
      </c>
      <c r="K558">
        <v>0</v>
      </c>
      <c r="L558">
        <v>34</v>
      </c>
      <c r="M558" t="s">
        <v>58</v>
      </c>
      <c r="N558" t="s">
        <v>59</v>
      </c>
    </row>
    <row r="559" spans="1:14" x14ac:dyDescent="0.3">
      <c r="A559">
        <v>23078924</v>
      </c>
      <c r="B559" t="s">
        <v>627</v>
      </c>
      <c r="C559" t="s">
        <v>24</v>
      </c>
      <c r="D559" s="1">
        <v>45525</v>
      </c>
      <c r="E559">
        <v>973</v>
      </c>
      <c r="F559" t="s">
        <v>39</v>
      </c>
      <c r="G559" t="s">
        <v>55</v>
      </c>
      <c r="H559" t="s">
        <v>81</v>
      </c>
      <c r="I559" t="s">
        <v>27</v>
      </c>
      <c r="J559" t="s">
        <v>20</v>
      </c>
      <c r="K559">
        <v>1</v>
      </c>
      <c r="L559">
        <v>17</v>
      </c>
      <c r="M559" t="s">
        <v>58</v>
      </c>
      <c r="N559" t="s">
        <v>22</v>
      </c>
    </row>
    <row r="560" spans="1:14" x14ac:dyDescent="0.3">
      <c r="A560">
        <v>13320343</v>
      </c>
      <c r="B560" t="s">
        <v>628</v>
      </c>
      <c r="C560" t="s">
        <v>70</v>
      </c>
      <c r="D560" s="1">
        <v>45628</v>
      </c>
      <c r="E560">
        <v>20511</v>
      </c>
      <c r="F560" t="s">
        <v>61</v>
      </c>
      <c r="G560" t="s">
        <v>17</v>
      </c>
      <c r="H560" t="s">
        <v>103</v>
      </c>
      <c r="I560" t="s">
        <v>19</v>
      </c>
      <c r="J560" t="s">
        <v>28</v>
      </c>
      <c r="K560">
        <v>1</v>
      </c>
      <c r="L560">
        <v>39</v>
      </c>
      <c r="M560" t="s">
        <v>65</v>
      </c>
      <c r="N560" t="s">
        <v>36</v>
      </c>
    </row>
    <row r="561" spans="1:14" x14ac:dyDescent="0.3">
      <c r="A561">
        <v>26015624</v>
      </c>
      <c r="B561" t="s">
        <v>629</v>
      </c>
      <c r="C561" t="s">
        <v>24</v>
      </c>
      <c r="D561" s="1">
        <v>45470</v>
      </c>
      <c r="E561">
        <v>20383</v>
      </c>
      <c r="F561" t="s">
        <v>39</v>
      </c>
      <c r="G561" t="s">
        <v>71</v>
      </c>
      <c r="H561" t="s">
        <v>26</v>
      </c>
      <c r="I561" t="s">
        <v>72</v>
      </c>
      <c r="J561" t="s">
        <v>85</v>
      </c>
      <c r="K561">
        <v>1</v>
      </c>
      <c r="L561">
        <v>62</v>
      </c>
      <c r="M561" t="s">
        <v>58</v>
      </c>
      <c r="N561" t="s">
        <v>89</v>
      </c>
    </row>
    <row r="562" spans="1:14" x14ac:dyDescent="0.3">
      <c r="A562">
        <v>16941618</v>
      </c>
      <c r="B562" t="s">
        <v>630</v>
      </c>
      <c r="C562" t="s">
        <v>101</v>
      </c>
      <c r="D562" s="1">
        <v>45448</v>
      </c>
      <c r="E562">
        <v>3230</v>
      </c>
      <c r="F562" t="s">
        <v>16</v>
      </c>
      <c r="G562" t="s">
        <v>25</v>
      </c>
      <c r="H562" t="s">
        <v>51</v>
      </c>
      <c r="I562" t="s">
        <v>34</v>
      </c>
      <c r="J562" t="s">
        <v>52</v>
      </c>
      <c r="K562">
        <v>1</v>
      </c>
      <c r="L562">
        <v>78</v>
      </c>
      <c r="M562" t="s">
        <v>21</v>
      </c>
      <c r="N562" t="s">
        <v>48</v>
      </c>
    </row>
    <row r="563" spans="1:14" x14ac:dyDescent="0.3">
      <c r="A563">
        <v>48985230</v>
      </c>
      <c r="B563" t="s">
        <v>631</v>
      </c>
      <c r="C563" t="s">
        <v>38</v>
      </c>
      <c r="D563" s="1">
        <v>45550</v>
      </c>
      <c r="E563">
        <v>11329</v>
      </c>
      <c r="F563" t="s">
        <v>16</v>
      </c>
      <c r="G563" t="s">
        <v>55</v>
      </c>
      <c r="H563" t="s">
        <v>33</v>
      </c>
      <c r="I563" t="s">
        <v>19</v>
      </c>
      <c r="J563" t="s">
        <v>52</v>
      </c>
      <c r="K563">
        <v>1</v>
      </c>
      <c r="L563">
        <v>12</v>
      </c>
      <c r="M563" t="s">
        <v>21</v>
      </c>
      <c r="N563" t="s">
        <v>89</v>
      </c>
    </row>
    <row r="564" spans="1:14" x14ac:dyDescent="0.3">
      <c r="A564">
        <v>40208479</v>
      </c>
      <c r="B564" t="s">
        <v>632</v>
      </c>
      <c r="C564" t="s">
        <v>38</v>
      </c>
      <c r="D564" s="1">
        <v>45387</v>
      </c>
      <c r="E564">
        <v>8873</v>
      </c>
      <c r="F564" t="s">
        <v>39</v>
      </c>
      <c r="G564" t="s">
        <v>17</v>
      </c>
      <c r="H564" t="s">
        <v>26</v>
      </c>
      <c r="I564" t="s">
        <v>27</v>
      </c>
      <c r="J564" t="s">
        <v>68</v>
      </c>
      <c r="K564">
        <v>0</v>
      </c>
      <c r="L564">
        <v>87</v>
      </c>
      <c r="M564" t="s">
        <v>21</v>
      </c>
      <c r="N564" t="s">
        <v>73</v>
      </c>
    </row>
    <row r="565" spans="1:14" x14ac:dyDescent="0.3">
      <c r="A565">
        <v>97672761</v>
      </c>
      <c r="B565" t="s">
        <v>633</v>
      </c>
      <c r="C565" t="s">
        <v>54</v>
      </c>
      <c r="D565" s="1">
        <v>45632</v>
      </c>
      <c r="E565">
        <v>7138</v>
      </c>
      <c r="F565" t="s">
        <v>50</v>
      </c>
      <c r="G565" t="s">
        <v>71</v>
      </c>
      <c r="H565" t="s">
        <v>40</v>
      </c>
      <c r="I565" t="s">
        <v>19</v>
      </c>
      <c r="J565" t="s">
        <v>52</v>
      </c>
      <c r="K565">
        <v>1</v>
      </c>
      <c r="L565">
        <v>89</v>
      </c>
      <c r="M565" t="s">
        <v>47</v>
      </c>
      <c r="N565" t="s">
        <v>43</v>
      </c>
    </row>
    <row r="566" spans="1:14" x14ac:dyDescent="0.3">
      <c r="A566">
        <v>67393558</v>
      </c>
      <c r="B566" t="s">
        <v>634</v>
      </c>
      <c r="C566" t="s">
        <v>77</v>
      </c>
      <c r="D566" s="1">
        <v>45627</v>
      </c>
      <c r="E566">
        <v>23647</v>
      </c>
      <c r="F566" t="s">
        <v>50</v>
      </c>
      <c r="G566" t="s">
        <v>17</v>
      </c>
      <c r="H566" t="s">
        <v>26</v>
      </c>
      <c r="I566" t="s">
        <v>19</v>
      </c>
      <c r="J566" t="s">
        <v>57</v>
      </c>
      <c r="K566">
        <v>1</v>
      </c>
      <c r="L566">
        <v>92</v>
      </c>
      <c r="M566" t="s">
        <v>42</v>
      </c>
      <c r="N566" t="s">
        <v>59</v>
      </c>
    </row>
    <row r="567" spans="1:14" x14ac:dyDescent="0.3">
      <c r="A567">
        <v>70673414</v>
      </c>
      <c r="B567" t="s">
        <v>635</v>
      </c>
      <c r="C567" t="s">
        <v>101</v>
      </c>
      <c r="D567" s="1">
        <v>45305</v>
      </c>
      <c r="E567">
        <v>5010</v>
      </c>
      <c r="F567" t="s">
        <v>16</v>
      </c>
      <c r="G567" t="s">
        <v>17</v>
      </c>
      <c r="H567" t="s">
        <v>51</v>
      </c>
      <c r="I567" t="s">
        <v>34</v>
      </c>
      <c r="J567" t="s">
        <v>57</v>
      </c>
      <c r="K567">
        <v>1</v>
      </c>
      <c r="L567">
        <v>42</v>
      </c>
      <c r="M567" t="s">
        <v>47</v>
      </c>
      <c r="N567" t="s">
        <v>36</v>
      </c>
    </row>
    <row r="568" spans="1:14" x14ac:dyDescent="0.3">
      <c r="A568">
        <v>53907774</v>
      </c>
      <c r="B568" t="s">
        <v>636</v>
      </c>
      <c r="C568" t="s">
        <v>31</v>
      </c>
      <c r="D568" s="1">
        <v>45391</v>
      </c>
      <c r="E568">
        <v>19565</v>
      </c>
      <c r="F568" t="s">
        <v>16</v>
      </c>
      <c r="G568" t="s">
        <v>71</v>
      </c>
      <c r="H568" t="s">
        <v>33</v>
      </c>
      <c r="I568" t="s">
        <v>34</v>
      </c>
      <c r="J568" t="s">
        <v>35</v>
      </c>
      <c r="K568">
        <v>1</v>
      </c>
      <c r="L568">
        <v>19</v>
      </c>
      <c r="M568" t="s">
        <v>42</v>
      </c>
      <c r="N568" t="s">
        <v>43</v>
      </c>
    </row>
    <row r="569" spans="1:14" x14ac:dyDescent="0.3">
      <c r="A569">
        <v>25618585</v>
      </c>
      <c r="B569" t="s">
        <v>637</v>
      </c>
      <c r="C569" t="s">
        <v>31</v>
      </c>
      <c r="D569" s="1">
        <v>45614</v>
      </c>
      <c r="E569">
        <v>15194</v>
      </c>
      <c r="F569" t="s">
        <v>61</v>
      </c>
      <c r="G569" t="s">
        <v>32</v>
      </c>
      <c r="H569" t="s">
        <v>51</v>
      </c>
      <c r="I569" t="s">
        <v>72</v>
      </c>
      <c r="J569" t="s">
        <v>57</v>
      </c>
      <c r="K569">
        <v>0</v>
      </c>
      <c r="L569">
        <v>91</v>
      </c>
      <c r="M569" t="s">
        <v>58</v>
      </c>
      <c r="N569" t="s">
        <v>63</v>
      </c>
    </row>
    <row r="570" spans="1:14" x14ac:dyDescent="0.3">
      <c r="A570">
        <v>49952714</v>
      </c>
      <c r="B570" t="s">
        <v>638</v>
      </c>
      <c r="C570" t="s">
        <v>38</v>
      </c>
      <c r="D570" s="1">
        <v>45594</v>
      </c>
      <c r="E570">
        <v>21367</v>
      </c>
      <c r="F570" t="s">
        <v>61</v>
      </c>
      <c r="G570" t="s">
        <v>71</v>
      </c>
      <c r="H570" t="s">
        <v>51</v>
      </c>
      <c r="I570" t="s">
        <v>72</v>
      </c>
      <c r="J570" t="s">
        <v>20</v>
      </c>
      <c r="K570">
        <v>0</v>
      </c>
      <c r="L570">
        <v>60</v>
      </c>
      <c r="M570" t="s">
        <v>58</v>
      </c>
      <c r="N570" t="s">
        <v>73</v>
      </c>
    </row>
    <row r="571" spans="1:14" x14ac:dyDescent="0.3">
      <c r="A571">
        <v>21455564</v>
      </c>
      <c r="B571" t="s">
        <v>639</v>
      </c>
      <c r="C571" t="s">
        <v>38</v>
      </c>
      <c r="D571" s="1">
        <v>45456</v>
      </c>
      <c r="E571">
        <v>11290</v>
      </c>
      <c r="F571" t="s">
        <v>16</v>
      </c>
      <c r="G571" t="s">
        <v>17</v>
      </c>
      <c r="H571" t="s">
        <v>62</v>
      </c>
      <c r="I571" t="s">
        <v>34</v>
      </c>
      <c r="J571" t="s">
        <v>20</v>
      </c>
      <c r="K571">
        <v>1</v>
      </c>
      <c r="L571">
        <v>78</v>
      </c>
      <c r="M571" t="s">
        <v>58</v>
      </c>
      <c r="N571" t="s">
        <v>43</v>
      </c>
    </row>
    <row r="572" spans="1:14" x14ac:dyDescent="0.3">
      <c r="A572">
        <v>90378470</v>
      </c>
      <c r="B572" t="s">
        <v>640</v>
      </c>
      <c r="C572" t="s">
        <v>31</v>
      </c>
      <c r="D572" s="1">
        <v>45581</v>
      </c>
      <c r="E572">
        <v>4686</v>
      </c>
      <c r="F572" t="s">
        <v>39</v>
      </c>
      <c r="G572" t="s">
        <v>25</v>
      </c>
      <c r="H572" t="s">
        <v>33</v>
      </c>
      <c r="I572" t="s">
        <v>34</v>
      </c>
      <c r="J572" t="s">
        <v>79</v>
      </c>
      <c r="K572">
        <v>0</v>
      </c>
      <c r="L572">
        <v>22</v>
      </c>
      <c r="M572" t="s">
        <v>42</v>
      </c>
      <c r="N572" t="s">
        <v>59</v>
      </c>
    </row>
    <row r="573" spans="1:14" x14ac:dyDescent="0.3">
      <c r="A573">
        <v>97093402</v>
      </c>
      <c r="B573" t="s">
        <v>641</v>
      </c>
      <c r="C573" t="s">
        <v>45</v>
      </c>
      <c r="D573" s="1">
        <v>45318</v>
      </c>
      <c r="E573">
        <v>14448</v>
      </c>
      <c r="F573" t="s">
        <v>39</v>
      </c>
      <c r="G573" t="s">
        <v>17</v>
      </c>
      <c r="H573" t="s">
        <v>81</v>
      </c>
      <c r="I573" t="s">
        <v>72</v>
      </c>
      <c r="J573" t="s">
        <v>68</v>
      </c>
      <c r="K573">
        <v>1</v>
      </c>
      <c r="L573">
        <v>76</v>
      </c>
      <c r="M573" t="s">
        <v>58</v>
      </c>
      <c r="N573" t="s">
        <v>48</v>
      </c>
    </row>
    <row r="574" spans="1:14" x14ac:dyDescent="0.3">
      <c r="A574">
        <v>57433363</v>
      </c>
      <c r="B574" t="s">
        <v>642</v>
      </c>
      <c r="C574" t="s">
        <v>31</v>
      </c>
      <c r="D574" s="1">
        <v>45293</v>
      </c>
      <c r="E574">
        <v>16059</v>
      </c>
      <c r="F574" t="s">
        <v>16</v>
      </c>
      <c r="G574" t="s">
        <v>32</v>
      </c>
      <c r="H574" t="s">
        <v>33</v>
      </c>
      <c r="I574" t="s">
        <v>27</v>
      </c>
      <c r="J574" t="s">
        <v>28</v>
      </c>
      <c r="K574">
        <v>0</v>
      </c>
      <c r="L574">
        <v>12</v>
      </c>
      <c r="M574" t="s">
        <v>47</v>
      </c>
      <c r="N574" t="s">
        <v>46</v>
      </c>
    </row>
    <row r="575" spans="1:14" x14ac:dyDescent="0.3">
      <c r="A575">
        <v>47216748</v>
      </c>
      <c r="B575" t="s">
        <v>643</v>
      </c>
      <c r="C575" t="s">
        <v>75</v>
      </c>
      <c r="D575" s="1">
        <v>45567</v>
      </c>
      <c r="E575">
        <v>551</v>
      </c>
      <c r="F575" t="s">
        <v>39</v>
      </c>
      <c r="G575" t="s">
        <v>32</v>
      </c>
      <c r="H575" t="s">
        <v>46</v>
      </c>
      <c r="I575" t="s">
        <v>19</v>
      </c>
      <c r="J575" t="s">
        <v>68</v>
      </c>
      <c r="K575">
        <v>1</v>
      </c>
      <c r="L575">
        <v>14</v>
      </c>
      <c r="M575" t="s">
        <v>21</v>
      </c>
      <c r="N575" t="s">
        <v>87</v>
      </c>
    </row>
    <row r="576" spans="1:14" x14ac:dyDescent="0.3">
      <c r="A576">
        <v>25234983</v>
      </c>
      <c r="B576" t="s">
        <v>644</v>
      </c>
      <c r="C576" t="s">
        <v>38</v>
      </c>
      <c r="D576" s="1">
        <v>45482</v>
      </c>
      <c r="E576">
        <v>24759</v>
      </c>
      <c r="F576" t="s">
        <v>50</v>
      </c>
      <c r="G576" t="s">
        <v>55</v>
      </c>
      <c r="H576" t="s">
        <v>33</v>
      </c>
      <c r="I576" t="s">
        <v>27</v>
      </c>
      <c r="J576" t="s">
        <v>35</v>
      </c>
      <c r="K576">
        <v>1</v>
      </c>
      <c r="L576">
        <v>44</v>
      </c>
      <c r="M576" t="s">
        <v>58</v>
      </c>
      <c r="N576" t="s">
        <v>89</v>
      </c>
    </row>
    <row r="577" spans="1:14" x14ac:dyDescent="0.3">
      <c r="A577">
        <v>79606426</v>
      </c>
      <c r="B577" t="s">
        <v>645</v>
      </c>
      <c r="C577" t="s">
        <v>45</v>
      </c>
      <c r="D577" s="1">
        <v>45432</v>
      </c>
      <c r="E577">
        <v>1650</v>
      </c>
      <c r="F577" t="s">
        <v>50</v>
      </c>
      <c r="G577" t="s">
        <v>55</v>
      </c>
      <c r="H577" t="s">
        <v>62</v>
      </c>
      <c r="I577" t="s">
        <v>19</v>
      </c>
      <c r="J577" t="s">
        <v>20</v>
      </c>
      <c r="K577">
        <v>0</v>
      </c>
      <c r="L577">
        <v>24</v>
      </c>
      <c r="M577" t="s">
        <v>42</v>
      </c>
      <c r="N577" t="s">
        <v>22</v>
      </c>
    </row>
    <row r="578" spans="1:14" x14ac:dyDescent="0.3">
      <c r="A578">
        <v>69953765</v>
      </c>
      <c r="B578" t="s">
        <v>646</v>
      </c>
      <c r="C578" t="s">
        <v>45</v>
      </c>
      <c r="D578" s="1">
        <v>45625</v>
      </c>
      <c r="E578">
        <v>15953</v>
      </c>
      <c r="F578" t="s">
        <v>39</v>
      </c>
      <c r="G578" t="s">
        <v>71</v>
      </c>
      <c r="H578" t="s">
        <v>51</v>
      </c>
      <c r="I578" t="s">
        <v>19</v>
      </c>
      <c r="J578" t="s">
        <v>20</v>
      </c>
      <c r="K578">
        <v>1</v>
      </c>
      <c r="L578">
        <v>84</v>
      </c>
      <c r="M578" t="s">
        <v>29</v>
      </c>
      <c r="N578" t="s">
        <v>22</v>
      </c>
    </row>
    <row r="579" spans="1:14" x14ac:dyDescent="0.3">
      <c r="A579">
        <v>74724626</v>
      </c>
      <c r="B579" t="s">
        <v>647</v>
      </c>
      <c r="C579" t="s">
        <v>54</v>
      </c>
      <c r="D579" s="1">
        <v>45326</v>
      </c>
      <c r="E579">
        <v>2850</v>
      </c>
      <c r="F579" t="s">
        <v>16</v>
      </c>
      <c r="G579" t="s">
        <v>32</v>
      </c>
      <c r="H579" t="s">
        <v>103</v>
      </c>
      <c r="I579" t="s">
        <v>34</v>
      </c>
      <c r="J579" t="s">
        <v>57</v>
      </c>
      <c r="K579">
        <v>0</v>
      </c>
      <c r="L579">
        <v>20</v>
      </c>
      <c r="M579" t="s">
        <v>29</v>
      </c>
      <c r="N579" t="s">
        <v>59</v>
      </c>
    </row>
    <row r="580" spans="1:14" x14ac:dyDescent="0.3">
      <c r="A580">
        <v>23320415</v>
      </c>
      <c r="B580" t="s">
        <v>648</v>
      </c>
      <c r="C580" t="s">
        <v>77</v>
      </c>
      <c r="D580" s="1">
        <v>45301</v>
      </c>
      <c r="E580">
        <v>2034</v>
      </c>
      <c r="F580" t="s">
        <v>39</v>
      </c>
      <c r="G580" t="s">
        <v>32</v>
      </c>
      <c r="H580" t="s">
        <v>56</v>
      </c>
      <c r="I580" t="s">
        <v>72</v>
      </c>
      <c r="J580" t="s">
        <v>57</v>
      </c>
      <c r="K580">
        <v>0</v>
      </c>
      <c r="L580">
        <v>58</v>
      </c>
      <c r="M580" t="s">
        <v>29</v>
      </c>
      <c r="N580" t="s">
        <v>89</v>
      </c>
    </row>
    <row r="581" spans="1:14" x14ac:dyDescent="0.3">
      <c r="A581">
        <v>28699276</v>
      </c>
      <c r="B581" t="s">
        <v>649</v>
      </c>
      <c r="C581" t="s">
        <v>31</v>
      </c>
      <c r="D581" s="1">
        <v>45601</v>
      </c>
      <c r="E581">
        <v>596</v>
      </c>
      <c r="F581" t="s">
        <v>39</v>
      </c>
      <c r="G581" t="s">
        <v>55</v>
      </c>
      <c r="H581" t="s">
        <v>56</v>
      </c>
      <c r="I581" t="s">
        <v>72</v>
      </c>
      <c r="J581" t="s">
        <v>79</v>
      </c>
      <c r="K581">
        <v>0</v>
      </c>
      <c r="L581">
        <v>78</v>
      </c>
      <c r="M581" t="s">
        <v>65</v>
      </c>
      <c r="N581" t="s">
        <v>87</v>
      </c>
    </row>
    <row r="582" spans="1:14" x14ac:dyDescent="0.3">
      <c r="A582">
        <v>63738281</v>
      </c>
      <c r="B582" t="s">
        <v>650</v>
      </c>
      <c r="C582" t="s">
        <v>45</v>
      </c>
      <c r="D582" s="1">
        <v>45450</v>
      </c>
      <c r="E582">
        <v>24907</v>
      </c>
      <c r="F582" t="s">
        <v>39</v>
      </c>
      <c r="G582" t="s">
        <v>25</v>
      </c>
      <c r="H582" t="s">
        <v>26</v>
      </c>
      <c r="I582" t="s">
        <v>72</v>
      </c>
      <c r="J582" t="s">
        <v>57</v>
      </c>
      <c r="K582">
        <v>0</v>
      </c>
      <c r="L582">
        <v>88</v>
      </c>
      <c r="M582" t="s">
        <v>21</v>
      </c>
      <c r="N582" t="s">
        <v>87</v>
      </c>
    </row>
    <row r="583" spans="1:14" x14ac:dyDescent="0.3">
      <c r="A583">
        <v>96561824</v>
      </c>
      <c r="B583" t="s">
        <v>651</v>
      </c>
      <c r="C583" t="s">
        <v>24</v>
      </c>
      <c r="D583" s="1">
        <v>45633</v>
      </c>
      <c r="E583">
        <v>20890</v>
      </c>
      <c r="F583" t="s">
        <v>61</v>
      </c>
      <c r="G583" t="s">
        <v>55</v>
      </c>
      <c r="H583" t="s">
        <v>62</v>
      </c>
      <c r="I583" t="s">
        <v>27</v>
      </c>
      <c r="J583" t="s">
        <v>68</v>
      </c>
      <c r="K583">
        <v>1</v>
      </c>
      <c r="L583">
        <v>28</v>
      </c>
      <c r="M583" t="s">
        <v>58</v>
      </c>
      <c r="N583" t="s">
        <v>48</v>
      </c>
    </row>
    <row r="584" spans="1:14" x14ac:dyDescent="0.3">
      <c r="A584">
        <v>14652085</v>
      </c>
      <c r="B584" t="s">
        <v>652</v>
      </c>
      <c r="C584" t="s">
        <v>31</v>
      </c>
      <c r="D584" s="1">
        <v>45513</v>
      </c>
      <c r="E584">
        <v>1369</v>
      </c>
      <c r="F584" t="s">
        <v>39</v>
      </c>
      <c r="G584" t="s">
        <v>17</v>
      </c>
      <c r="H584" t="s">
        <v>18</v>
      </c>
      <c r="I584" t="s">
        <v>34</v>
      </c>
      <c r="J584" t="s">
        <v>57</v>
      </c>
      <c r="K584">
        <v>0</v>
      </c>
      <c r="L584">
        <v>21</v>
      </c>
      <c r="M584" t="s">
        <v>65</v>
      </c>
      <c r="N584" t="s">
        <v>22</v>
      </c>
    </row>
    <row r="585" spans="1:14" x14ac:dyDescent="0.3">
      <c r="A585">
        <v>27327733</v>
      </c>
      <c r="B585" t="s">
        <v>653</v>
      </c>
      <c r="C585" t="s">
        <v>31</v>
      </c>
      <c r="D585" s="1">
        <v>45543</v>
      </c>
      <c r="E585">
        <v>21399</v>
      </c>
      <c r="F585" t="s">
        <v>39</v>
      </c>
      <c r="G585" t="s">
        <v>71</v>
      </c>
      <c r="H585" t="s">
        <v>33</v>
      </c>
      <c r="I585" t="s">
        <v>19</v>
      </c>
      <c r="J585" t="s">
        <v>85</v>
      </c>
      <c r="K585">
        <v>0</v>
      </c>
      <c r="L585">
        <v>72</v>
      </c>
      <c r="M585" t="s">
        <v>21</v>
      </c>
      <c r="N585" t="s">
        <v>46</v>
      </c>
    </row>
    <row r="586" spans="1:14" x14ac:dyDescent="0.3">
      <c r="A586">
        <v>39352122</v>
      </c>
      <c r="B586" t="s">
        <v>654</v>
      </c>
      <c r="C586" t="s">
        <v>101</v>
      </c>
      <c r="D586" s="1">
        <v>45455</v>
      </c>
      <c r="E586">
        <v>4073</v>
      </c>
      <c r="F586" t="s">
        <v>39</v>
      </c>
      <c r="G586" t="s">
        <v>17</v>
      </c>
      <c r="H586" t="s">
        <v>18</v>
      </c>
      <c r="I586" t="s">
        <v>19</v>
      </c>
      <c r="J586" t="s">
        <v>41</v>
      </c>
      <c r="K586">
        <v>0</v>
      </c>
      <c r="L586">
        <v>69</v>
      </c>
      <c r="M586" t="s">
        <v>65</v>
      </c>
      <c r="N586" t="s">
        <v>46</v>
      </c>
    </row>
    <row r="587" spans="1:14" x14ac:dyDescent="0.3">
      <c r="A587">
        <v>43384840</v>
      </c>
      <c r="B587" t="s">
        <v>655</v>
      </c>
      <c r="C587" t="s">
        <v>77</v>
      </c>
      <c r="D587" s="1">
        <v>45377</v>
      </c>
      <c r="E587">
        <v>22618</v>
      </c>
      <c r="F587" t="s">
        <v>61</v>
      </c>
      <c r="G587" t="s">
        <v>55</v>
      </c>
      <c r="H587" t="s">
        <v>40</v>
      </c>
      <c r="I587" t="s">
        <v>72</v>
      </c>
      <c r="J587" t="s">
        <v>41</v>
      </c>
      <c r="K587">
        <v>0</v>
      </c>
      <c r="L587">
        <v>22</v>
      </c>
      <c r="M587" t="s">
        <v>21</v>
      </c>
      <c r="N587" t="s">
        <v>36</v>
      </c>
    </row>
    <row r="588" spans="1:14" x14ac:dyDescent="0.3">
      <c r="A588">
        <v>42927918</v>
      </c>
      <c r="B588" t="s">
        <v>656</v>
      </c>
      <c r="C588" t="s">
        <v>75</v>
      </c>
      <c r="D588" s="1">
        <v>45476</v>
      </c>
      <c r="E588">
        <v>23364</v>
      </c>
      <c r="F588" t="s">
        <v>39</v>
      </c>
      <c r="G588" t="s">
        <v>55</v>
      </c>
      <c r="H588" t="s">
        <v>51</v>
      </c>
      <c r="I588" t="s">
        <v>27</v>
      </c>
      <c r="J588" t="s">
        <v>52</v>
      </c>
      <c r="K588">
        <v>1</v>
      </c>
      <c r="L588">
        <v>88</v>
      </c>
      <c r="M588" t="s">
        <v>65</v>
      </c>
      <c r="N588" t="s">
        <v>59</v>
      </c>
    </row>
    <row r="589" spans="1:14" x14ac:dyDescent="0.3">
      <c r="A589">
        <v>14787756</v>
      </c>
      <c r="B589" t="s">
        <v>657</v>
      </c>
      <c r="C589" t="s">
        <v>75</v>
      </c>
      <c r="D589" s="1">
        <v>45368</v>
      </c>
      <c r="E589">
        <v>24084</v>
      </c>
      <c r="F589" t="s">
        <v>61</v>
      </c>
      <c r="G589" t="s">
        <v>71</v>
      </c>
      <c r="H589" t="s">
        <v>62</v>
      </c>
      <c r="I589" t="s">
        <v>27</v>
      </c>
      <c r="J589" t="s">
        <v>52</v>
      </c>
      <c r="K589">
        <v>1</v>
      </c>
      <c r="L589">
        <v>51</v>
      </c>
      <c r="M589" t="s">
        <v>65</v>
      </c>
      <c r="N589" t="s">
        <v>46</v>
      </c>
    </row>
    <row r="590" spans="1:14" x14ac:dyDescent="0.3">
      <c r="A590">
        <v>22305247</v>
      </c>
      <c r="B590" t="s">
        <v>658</v>
      </c>
      <c r="C590" t="s">
        <v>38</v>
      </c>
      <c r="D590" s="1">
        <v>45377</v>
      </c>
      <c r="E590">
        <v>2419</v>
      </c>
      <c r="F590" t="s">
        <v>16</v>
      </c>
      <c r="G590" t="s">
        <v>71</v>
      </c>
      <c r="H590" t="s">
        <v>56</v>
      </c>
      <c r="I590" t="s">
        <v>34</v>
      </c>
      <c r="J590" t="s">
        <v>57</v>
      </c>
      <c r="K590">
        <v>1</v>
      </c>
      <c r="L590">
        <v>31</v>
      </c>
      <c r="M590" t="s">
        <v>58</v>
      </c>
      <c r="N590" t="s">
        <v>63</v>
      </c>
    </row>
    <row r="591" spans="1:14" x14ac:dyDescent="0.3">
      <c r="A591">
        <v>36763224</v>
      </c>
      <c r="B591" t="s">
        <v>659</v>
      </c>
      <c r="C591" t="s">
        <v>31</v>
      </c>
      <c r="D591" s="1">
        <v>45345</v>
      </c>
      <c r="E591">
        <v>11117</v>
      </c>
      <c r="F591" t="s">
        <v>61</v>
      </c>
      <c r="G591" t="s">
        <v>25</v>
      </c>
      <c r="H591" t="s">
        <v>103</v>
      </c>
      <c r="I591" t="s">
        <v>19</v>
      </c>
      <c r="J591" t="s">
        <v>35</v>
      </c>
      <c r="K591">
        <v>0</v>
      </c>
      <c r="L591">
        <v>12</v>
      </c>
      <c r="M591" t="s">
        <v>58</v>
      </c>
      <c r="N591" t="s">
        <v>48</v>
      </c>
    </row>
    <row r="592" spans="1:14" x14ac:dyDescent="0.3">
      <c r="A592">
        <v>15825703</v>
      </c>
      <c r="B592" t="s">
        <v>660</v>
      </c>
      <c r="C592" t="s">
        <v>54</v>
      </c>
      <c r="D592" s="1">
        <v>45510</v>
      </c>
      <c r="E592">
        <v>14813</v>
      </c>
      <c r="F592" t="s">
        <v>16</v>
      </c>
      <c r="G592" t="s">
        <v>17</v>
      </c>
      <c r="H592" t="s">
        <v>56</v>
      </c>
      <c r="I592" t="s">
        <v>34</v>
      </c>
      <c r="J592" t="s">
        <v>57</v>
      </c>
      <c r="K592">
        <v>1</v>
      </c>
      <c r="L592">
        <v>79</v>
      </c>
      <c r="M592" t="s">
        <v>42</v>
      </c>
      <c r="N592" t="s">
        <v>89</v>
      </c>
    </row>
    <row r="593" spans="1:14" x14ac:dyDescent="0.3">
      <c r="A593">
        <v>15498019</v>
      </c>
      <c r="B593" t="s">
        <v>661</v>
      </c>
      <c r="C593" t="s">
        <v>101</v>
      </c>
      <c r="D593" s="1">
        <v>45456</v>
      </c>
      <c r="E593">
        <v>4166</v>
      </c>
      <c r="F593" t="s">
        <v>16</v>
      </c>
      <c r="G593" t="s">
        <v>55</v>
      </c>
      <c r="H593" t="s">
        <v>26</v>
      </c>
      <c r="I593" t="s">
        <v>19</v>
      </c>
      <c r="J593" t="s">
        <v>68</v>
      </c>
      <c r="K593">
        <v>0</v>
      </c>
      <c r="L593">
        <v>39</v>
      </c>
      <c r="M593" t="s">
        <v>21</v>
      </c>
      <c r="N593" t="s">
        <v>89</v>
      </c>
    </row>
    <row r="594" spans="1:14" x14ac:dyDescent="0.3">
      <c r="A594">
        <v>70225559</v>
      </c>
      <c r="B594" t="s">
        <v>662</v>
      </c>
      <c r="C594" t="s">
        <v>101</v>
      </c>
      <c r="D594" s="1">
        <v>45421</v>
      </c>
      <c r="E594">
        <v>3626</v>
      </c>
      <c r="F594" t="s">
        <v>39</v>
      </c>
      <c r="G594" t="s">
        <v>25</v>
      </c>
      <c r="H594" t="s">
        <v>81</v>
      </c>
      <c r="I594" t="s">
        <v>34</v>
      </c>
      <c r="J594" t="s">
        <v>20</v>
      </c>
      <c r="K594">
        <v>0</v>
      </c>
      <c r="L594">
        <v>62</v>
      </c>
      <c r="M594" t="s">
        <v>21</v>
      </c>
      <c r="N594" t="s">
        <v>48</v>
      </c>
    </row>
    <row r="595" spans="1:14" x14ac:dyDescent="0.3">
      <c r="A595">
        <v>41884523</v>
      </c>
      <c r="B595" t="s">
        <v>663</v>
      </c>
      <c r="C595" t="s">
        <v>15</v>
      </c>
      <c r="D595" s="1">
        <v>45408</v>
      </c>
      <c r="E595">
        <v>8990</v>
      </c>
      <c r="F595" t="s">
        <v>61</v>
      </c>
      <c r="G595" t="s">
        <v>71</v>
      </c>
      <c r="H595" t="s">
        <v>46</v>
      </c>
      <c r="I595" t="s">
        <v>34</v>
      </c>
      <c r="J595" t="s">
        <v>35</v>
      </c>
      <c r="K595">
        <v>1</v>
      </c>
      <c r="L595">
        <v>62</v>
      </c>
      <c r="M595" t="s">
        <v>42</v>
      </c>
      <c r="N595" t="s">
        <v>43</v>
      </c>
    </row>
    <row r="596" spans="1:14" x14ac:dyDescent="0.3">
      <c r="A596">
        <v>75584444</v>
      </c>
      <c r="B596" t="s">
        <v>664</v>
      </c>
      <c r="C596" t="s">
        <v>101</v>
      </c>
      <c r="D596" s="1">
        <v>45340</v>
      </c>
      <c r="E596">
        <v>23047</v>
      </c>
      <c r="F596" t="s">
        <v>50</v>
      </c>
      <c r="G596" t="s">
        <v>25</v>
      </c>
      <c r="H596" t="s">
        <v>103</v>
      </c>
      <c r="I596" t="s">
        <v>19</v>
      </c>
      <c r="J596" t="s">
        <v>41</v>
      </c>
      <c r="K596">
        <v>0</v>
      </c>
      <c r="L596">
        <v>92</v>
      </c>
      <c r="M596" t="s">
        <v>42</v>
      </c>
      <c r="N596" t="s">
        <v>59</v>
      </c>
    </row>
    <row r="597" spans="1:14" x14ac:dyDescent="0.3">
      <c r="A597">
        <v>82591057</v>
      </c>
      <c r="B597" t="s">
        <v>665</v>
      </c>
      <c r="C597" t="s">
        <v>38</v>
      </c>
      <c r="D597" s="1">
        <v>45577</v>
      </c>
      <c r="E597">
        <v>12667</v>
      </c>
      <c r="F597" t="s">
        <v>16</v>
      </c>
      <c r="G597" t="s">
        <v>55</v>
      </c>
      <c r="H597" t="s">
        <v>56</v>
      </c>
      <c r="I597" t="s">
        <v>19</v>
      </c>
      <c r="J597" t="s">
        <v>68</v>
      </c>
      <c r="K597">
        <v>0</v>
      </c>
      <c r="L597">
        <v>94</v>
      </c>
      <c r="M597" t="s">
        <v>29</v>
      </c>
      <c r="N597" t="s">
        <v>36</v>
      </c>
    </row>
    <row r="598" spans="1:14" x14ac:dyDescent="0.3">
      <c r="A598">
        <v>35333702</v>
      </c>
      <c r="B598" t="s">
        <v>666</v>
      </c>
      <c r="C598" t="s">
        <v>54</v>
      </c>
      <c r="D598" s="1">
        <v>45517</v>
      </c>
      <c r="E598">
        <v>18736</v>
      </c>
      <c r="F598" t="s">
        <v>50</v>
      </c>
      <c r="G598" t="s">
        <v>32</v>
      </c>
      <c r="H598" t="s">
        <v>103</v>
      </c>
      <c r="I598" t="s">
        <v>72</v>
      </c>
      <c r="J598" t="s">
        <v>20</v>
      </c>
      <c r="K598">
        <v>0</v>
      </c>
      <c r="L598">
        <v>20</v>
      </c>
      <c r="M598" t="s">
        <v>47</v>
      </c>
      <c r="N598" t="s">
        <v>87</v>
      </c>
    </row>
    <row r="599" spans="1:14" x14ac:dyDescent="0.3">
      <c r="A599">
        <v>20677237</v>
      </c>
      <c r="B599" t="s">
        <v>667</v>
      </c>
      <c r="C599" t="s">
        <v>54</v>
      </c>
      <c r="D599" s="1">
        <v>45412</v>
      </c>
      <c r="E599">
        <v>7369</v>
      </c>
      <c r="F599" t="s">
        <v>39</v>
      </c>
      <c r="G599" t="s">
        <v>32</v>
      </c>
      <c r="H599" t="s">
        <v>40</v>
      </c>
      <c r="I599" t="s">
        <v>72</v>
      </c>
      <c r="J599" t="s">
        <v>52</v>
      </c>
      <c r="K599">
        <v>1</v>
      </c>
      <c r="L599">
        <v>95</v>
      </c>
      <c r="M599" t="s">
        <v>58</v>
      </c>
      <c r="N599" t="s">
        <v>87</v>
      </c>
    </row>
    <row r="600" spans="1:14" x14ac:dyDescent="0.3">
      <c r="A600">
        <v>74831665</v>
      </c>
      <c r="B600" t="s">
        <v>668</v>
      </c>
      <c r="C600" t="s">
        <v>15</v>
      </c>
      <c r="D600" s="1">
        <v>45376</v>
      </c>
      <c r="E600">
        <v>23640</v>
      </c>
      <c r="F600" t="s">
        <v>16</v>
      </c>
      <c r="G600" t="s">
        <v>25</v>
      </c>
      <c r="H600" t="s">
        <v>46</v>
      </c>
      <c r="I600" t="s">
        <v>72</v>
      </c>
      <c r="J600" t="s">
        <v>52</v>
      </c>
      <c r="K600">
        <v>0</v>
      </c>
      <c r="L600">
        <v>50</v>
      </c>
      <c r="M600" t="s">
        <v>42</v>
      </c>
      <c r="N600" t="s">
        <v>43</v>
      </c>
    </row>
    <row r="601" spans="1:14" x14ac:dyDescent="0.3">
      <c r="A601">
        <v>64168334</v>
      </c>
      <c r="B601" t="s">
        <v>669</v>
      </c>
      <c r="C601" t="s">
        <v>31</v>
      </c>
      <c r="D601" s="1">
        <v>45494</v>
      </c>
      <c r="E601">
        <v>9640</v>
      </c>
      <c r="F601" t="s">
        <v>16</v>
      </c>
      <c r="G601" t="s">
        <v>55</v>
      </c>
      <c r="H601" t="s">
        <v>26</v>
      </c>
      <c r="I601" t="s">
        <v>27</v>
      </c>
      <c r="J601" t="s">
        <v>57</v>
      </c>
      <c r="K601">
        <v>1</v>
      </c>
      <c r="L601">
        <v>85</v>
      </c>
      <c r="M601" t="s">
        <v>65</v>
      </c>
      <c r="N601" t="s">
        <v>22</v>
      </c>
    </row>
    <row r="602" spans="1:14" x14ac:dyDescent="0.3">
      <c r="A602">
        <v>37493871</v>
      </c>
      <c r="B602" t="s">
        <v>670</v>
      </c>
      <c r="C602" t="s">
        <v>31</v>
      </c>
      <c r="D602" s="1">
        <v>45419</v>
      </c>
      <c r="E602">
        <v>3816</v>
      </c>
      <c r="F602" t="s">
        <v>39</v>
      </c>
      <c r="G602" t="s">
        <v>71</v>
      </c>
      <c r="H602" t="s">
        <v>103</v>
      </c>
      <c r="I602" t="s">
        <v>34</v>
      </c>
      <c r="J602" t="s">
        <v>41</v>
      </c>
      <c r="K602">
        <v>0</v>
      </c>
      <c r="L602">
        <v>27</v>
      </c>
      <c r="M602" t="s">
        <v>42</v>
      </c>
      <c r="N602" t="s">
        <v>89</v>
      </c>
    </row>
    <row r="603" spans="1:14" x14ac:dyDescent="0.3">
      <c r="A603">
        <v>54838803</v>
      </c>
      <c r="B603" t="s">
        <v>671</v>
      </c>
      <c r="C603" t="s">
        <v>45</v>
      </c>
      <c r="D603" s="1">
        <v>45625</v>
      </c>
      <c r="E603">
        <v>6736</v>
      </c>
      <c r="F603" t="s">
        <v>39</v>
      </c>
      <c r="G603" t="s">
        <v>25</v>
      </c>
      <c r="H603" t="s">
        <v>46</v>
      </c>
      <c r="I603" t="s">
        <v>27</v>
      </c>
      <c r="J603" t="s">
        <v>41</v>
      </c>
      <c r="K603">
        <v>0</v>
      </c>
      <c r="L603">
        <v>61</v>
      </c>
      <c r="M603" t="s">
        <v>29</v>
      </c>
      <c r="N603" t="s">
        <v>87</v>
      </c>
    </row>
    <row r="604" spans="1:14" x14ac:dyDescent="0.3">
      <c r="A604">
        <v>63675758</v>
      </c>
      <c r="B604" t="s">
        <v>672</v>
      </c>
      <c r="C604" t="s">
        <v>75</v>
      </c>
      <c r="D604" s="1">
        <v>45422</v>
      </c>
      <c r="E604">
        <v>12284</v>
      </c>
      <c r="F604" t="s">
        <v>61</v>
      </c>
      <c r="G604" t="s">
        <v>25</v>
      </c>
      <c r="H604" t="s">
        <v>40</v>
      </c>
      <c r="I604" t="s">
        <v>19</v>
      </c>
      <c r="J604" t="s">
        <v>20</v>
      </c>
      <c r="K604">
        <v>0</v>
      </c>
      <c r="L604">
        <v>65</v>
      </c>
      <c r="M604" t="s">
        <v>58</v>
      </c>
      <c r="N604" t="s">
        <v>46</v>
      </c>
    </row>
    <row r="605" spans="1:14" x14ac:dyDescent="0.3">
      <c r="A605">
        <v>83013890</v>
      </c>
      <c r="B605" t="s">
        <v>673</v>
      </c>
      <c r="C605" t="s">
        <v>38</v>
      </c>
      <c r="D605" s="1">
        <v>45603</v>
      </c>
      <c r="E605">
        <v>23062</v>
      </c>
      <c r="F605" t="s">
        <v>50</v>
      </c>
      <c r="G605" t="s">
        <v>32</v>
      </c>
      <c r="H605" t="s">
        <v>62</v>
      </c>
      <c r="I605" t="s">
        <v>72</v>
      </c>
      <c r="J605" t="s">
        <v>20</v>
      </c>
      <c r="K605">
        <v>0</v>
      </c>
      <c r="L605">
        <v>88</v>
      </c>
      <c r="M605" t="s">
        <v>65</v>
      </c>
      <c r="N605" t="s">
        <v>87</v>
      </c>
    </row>
    <row r="606" spans="1:14" x14ac:dyDescent="0.3">
      <c r="A606">
        <v>12901584</v>
      </c>
      <c r="B606" t="s">
        <v>674</v>
      </c>
      <c r="C606" t="s">
        <v>45</v>
      </c>
      <c r="D606" s="1">
        <v>45563</v>
      </c>
      <c r="E606">
        <v>8817</v>
      </c>
      <c r="F606" t="s">
        <v>39</v>
      </c>
      <c r="G606" t="s">
        <v>55</v>
      </c>
      <c r="H606" t="s">
        <v>40</v>
      </c>
      <c r="I606" t="s">
        <v>19</v>
      </c>
      <c r="J606" t="s">
        <v>20</v>
      </c>
      <c r="K606">
        <v>0</v>
      </c>
      <c r="L606">
        <v>65</v>
      </c>
      <c r="M606" t="s">
        <v>42</v>
      </c>
      <c r="N606" t="s">
        <v>73</v>
      </c>
    </row>
    <row r="607" spans="1:14" x14ac:dyDescent="0.3">
      <c r="A607">
        <v>81236827</v>
      </c>
      <c r="B607" t="s">
        <v>675</v>
      </c>
      <c r="C607" t="s">
        <v>101</v>
      </c>
      <c r="D607" s="1">
        <v>45373</v>
      </c>
      <c r="E607">
        <v>4217</v>
      </c>
      <c r="F607" t="s">
        <v>39</v>
      </c>
      <c r="G607" t="s">
        <v>25</v>
      </c>
      <c r="H607" t="s">
        <v>18</v>
      </c>
      <c r="I607" t="s">
        <v>34</v>
      </c>
      <c r="J607" t="s">
        <v>57</v>
      </c>
      <c r="K607">
        <v>0</v>
      </c>
      <c r="L607">
        <v>67</v>
      </c>
      <c r="M607" t="s">
        <v>42</v>
      </c>
      <c r="N607" t="s">
        <v>59</v>
      </c>
    </row>
    <row r="608" spans="1:14" x14ac:dyDescent="0.3">
      <c r="A608">
        <v>76394894</v>
      </c>
      <c r="B608" t="s">
        <v>676</v>
      </c>
      <c r="C608" t="s">
        <v>45</v>
      </c>
      <c r="D608" s="1">
        <v>45354</v>
      </c>
      <c r="E608">
        <v>685</v>
      </c>
      <c r="F608" t="s">
        <v>61</v>
      </c>
      <c r="G608" t="s">
        <v>71</v>
      </c>
      <c r="H608" t="s">
        <v>81</v>
      </c>
      <c r="I608" t="s">
        <v>34</v>
      </c>
      <c r="J608" t="s">
        <v>41</v>
      </c>
      <c r="K608">
        <v>1</v>
      </c>
      <c r="L608">
        <v>57</v>
      </c>
      <c r="M608" t="s">
        <v>47</v>
      </c>
      <c r="N608" t="s">
        <v>59</v>
      </c>
    </row>
    <row r="609" spans="1:14" x14ac:dyDescent="0.3">
      <c r="A609">
        <v>22461051</v>
      </c>
      <c r="B609" t="s">
        <v>677</v>
      </c>
      <c r="C609" t="s">
        <v>31</v>
      </c>
      <c r="D609" s="1">
        <v>45615</v>
      </c>
      <c r="E609">
        <v>6939</v>
      </c>
      <c r="F609" t="s">
        <v>61</v>
      </c>
      <c r="G609" t="s">
        <v>32</v>
      </c>
      <c r="H609" t="s">
        <v>56</v>
      </c>
      <c r="I609" t="s">
        <v>27</v>
      </c>
      <c r="J609" t="s">
        <v>28</v>
      </c>
      <c r="K609">
        <v>0</v>
      </c>
      <c r="L609">
        <v>51</v>
      </c>
      <c r="M609" t="s">
        <v>47</v>
      </c>
      <c r="N609" t="s">
        <v>63</v>
      </c>
    </row>
    <row r="610" spans="1:14" x14ac:dyDescent="0.3">
      <c r="A610">
        <v>22255747</v>
      </c>
      <c r="B610" t="s">
        <v>678</v>
      </c>
      <c r="C610" t="s">
        <v>24</v>
      </c>
      <c r="D610" s="1">
        <v>45512</v>
      </c>
      <c r="E610">
        <v>19029</v>
      </c>
      <c r="F610" t="s">
        <v>16</v>
      </c>
      <c r="G610" t="s">
        <v>17</v>
      </c>
      <c r="H610" t="s">
        <v>51</v>
      </c>
      <c r="I610" t="s">
        <v>34</v>
      </c>
      <c r="J610" t="s">
        <v>68</v>
      </c>
      <c r="K610">
        <v>0</v>
      </c>
      <c r="L610">
        <v>94</v>
      </c>
      <c r="M610" t="s">
        <v>21</v>
      </c>
      <c r="N610" t="s">
        <v>63</v>
      </c>
    </row>
    <row r="611" spans="1:14" x14ac:dyDescent="0.3">
      <c r="A611">
        <v>45757297</v>
      </c>
      <c r="B611" t="s">
        <v>679</v>
      </c>
      <c r="C611" t="s">
        <v>31</v>
      </c>
      <c r="D611" s="1">
        <v>45338</v>
      </c>
      <c r="E611">
        <v>1814</v>
      </c>
      <c r="F611" t="s">
        <v>16</v>
      </c>
      <c r="G611" t="s">
        <v>71</v>
      </c>
      <c r="H611" t="s">
        <v>103</v>
      </c>
      <c r="I611" t="s">
        <v>19</v>
      </c>
      <c r="J611" t="s">
        <v>35</v>
      </c>
      <c r="K611">
        <v>0</v>
      </c>
      <c r="L611">
        <v>64</v>
      </c>
      <c r="M611" t="s">
        <v>21</v>
      </c>
      <c r="N611" t="s">
        <v>87</v>
      </c>
    </row>
    <row r="612" spans="1:14" x14ac:dyDescent="0.3">
      <c r="A612">
        <v>22906170</v>
      </c>
      <c r="B612" t="s">
        <v>680</v>
      </c>
      <c r="C612" t="s">
        <v>70</v>
      </c>
      <c r="D612" s="1">
        <v>45430</v>
      </c>
      <c r="E612">
        <v>12442</v>
      </c>
      <c r="F612" t="s">
        <v>61</v>
      </c>
      <c r="G612" t="s">
        <v>25</v>
      </c>
      <c r="H612" t="s">
        <v>62</v>
      </c>
      <c r="I612" t="s">
        <v>34</v>
      </c>
      <c r="J612" t="s">
        <v>68</v>
      </c>
      <c r="K612">
        <v>0</v>
      </c>
      <c r="L612">
        <v>23</v>
      </c>
      <c r="M612" t="s">
        <v>21</v>
      </c>
      <c r="N612" t="s">
        <v>89</v>
      </c>
    </row>
    <row r="613" spans="1:14" x14ac:dyDescent="0.3">
      <c r="A613">
        <v>38777044</v>
      </c>
      <c r="B613" t="s">
        <v>681</v>
      </c>
      <c r="C613" t="s">
        <v>38</v>
      </c>
      <c r="D613" s="1">
        <v>45624</v>
      </c>
      <c r="E613">
        <v>4177</v>
      </c>
      <c r="F613" t="s">
        <v>61</v>
      </c>
      <c r="G613" t="s">
        <v>71</v>
      </c>
      <c r="H613" t="s">
        <v>62</v>
      </c>
      <c r="I613" t="s">
        <v>34</v>
      </c>
      <c r="J613" t="s">
        <v>79</v>
      </c>
      <c r="K613">
        <v>0</v>
      </c>
      <c r="L613">
        <v>13</v>
      </c>
      <c r="M613" t="s">
        <v>47</v>
      </c>
      <c r="N613" t="s">
        <v>89</v>
      </c>
    </row>
    <row r="614" spans="1:14" x14ac:dyDescent="0.3">
      <c r="A614">
        <v>18998879</v>
      </c>
      <c r="B614" t="s">
        <v>682</v>
      </c>
      <c r="C614" t="s">
        <v>75</v>
      </c>
      <c r="D614" s="1">
        <v>45549</v>
      </c>
      <c r="E614">
        <v>7483</v>
      </c>
      <c r="F614" t="s">
        <v>39</v>
      </c>
      <c r="G614" t="s">
        <v>71</v>
      </c>
      <c r="H614" t="s">
        <v>56</v>
      </c>
      <c r="I614" t="s">
        <v>34</v>
      </c>
      <c r="J614" t="s">
        <v>41</v>
      </c>
      <c r="K614">
        <v>1</v>
      </c>
      <c r="L614">
        <v>62</v>
      </c>
      <c r="M614" t="s">
        <v>42</v>
      </c>
      <c r="N614" t="s">
        <v>59</v>
      </c>
    </row>
    <row r="615" spans="1:14" x14ac:dyDescent="0.3">
      <c r="A615">
        <v>53870911</v>
      </c>
      <c r="B615" t="s">
        <v>683</v>
      </c>
      <c r="C615" t="s">
        <v>54</v>
      </c>
      <c r="D615" s="1">
        <v>45313</v>
      </c>
      <c r="E615">
        <v>8738</v>
      </c>
      <c r="F615" t="s">
        <v>16</v>
      </c>
      <c r="G615" t="s">
        <v>55</v>
      </c>
      <c r="H615" t="s">
        <v>18</v>
      </c>
      <c r="I615" t="s">
        <v>34</v>
      </c>
      <c r="J615" t="s">
        <v>68</v>
      </c>
      <c r="K615">
        <v>0</v>
      </c>
      <c r="L615">
        <v>95</v>
      </c>
      <c r="M615" t="s">
        <v>65</v>
      </c>
      <c r="N615" t="s">
        <v>63</v>
      </c>
    </row>
    <row r="616" spans="1:14" x14ac:dyDescent="0.3">
      <c r="A616">
        <v>88342477</v>
      </c>
      <c r="B616" t="s">
        <v>684</v>
      </c>
      <c r="C616" t="s">
        <v>38</v>
      </c>
      <c r="D616" s="1">
        <v>45476</v>
      </c>
      <c r="E616">
        <v>13134</v>
      </c>
      <c r="F616" t="s">
        <v>61</v>
      </c>
      <c r="G616" t="s">
        <v>25</v>
      </c>
      <c r="H616" t="s">
        <v>40</v>
      </c>
      <c r="I616" t="s">
        <v>27</v>
      </c>
      <c r="J616" t="s">
        <v>52</v>
      </c>
      <c r="K616">
        <v>0</v>
      </c>
      <c r="L616">
        <v>57</v>
      </c>
      <c r="M616" t="s">
        <v>42</v>
      </c>
      <c r="N616" t="s">
        <v>46</v>
      </c>
    </row>
    <row r="617" spans="1:14" x14ac:dyDescent="0.3">
      <c r="A617">
        <v>34618820</v>
      </c>
      <c r="B617" t="s">
        <v>685</v>
      </c>
      <c r="C617" t="s">
        <v>70</v>
      </c>
      <c r="D617" s="1">
        <v>45329</v>
      </c>
      <c r="E617">
        <v>6254</v>
      </c>
      <c r="F617" t="s">
        <v>16</v>
      </c>
      <c r="G617" t="s">
        <v>17</v>
      </c>
      <c r="H617" t="s">
        <v>56</v>
      </c>
      <c r="I617" t="s">
        <v>27</v>
      </c>
      <c r="J617" t="s">
        <v>52</v>
      </c>
      <c r="K617">
        <v>0</v>
      </c>
      <c r="L617">
        <v>20</v>
      </c>
      <c r="M617" t="s">
        <v>65</v>
      </c>
      <c r="N617" t="s">
        <v>48</v>
      </c>
    </row>
    <row r="618" spans="1:14" x14ac:dyDescent="0.3">
      <c r="A618">
        <v>69235451</v>
      </c>
      <c r="B618" t="s">
        <v>686</v>
      </c>
      <c r="C618" t="s">
        <v>15</v>
      </c>
      <c r="D618" s="1">
        <v>45442</v>
      </c>
      <c r="E618">
        <v>1653</v>
      </c>
      <c r="F618" t="s">
        <v>16</v>
      </c>
      <c r="G618" t="s">
        <v>25</v>
      </c>
      <c r="H618" t="s">
        <v>26</v>
      </c>
      <c r="I618" t="s">
        <v>72</v>
      </c>
      <c r="J618" t="s">
        <v>28</v>
      </c>
      <c r="K618">
        <v>1</v>
      </c>
      <c r="L618">
        <v>54</v>
      </c>
      <c r="M618" t="s">
        <v>65</v>
      </c>
      <c r="N618" t="s">
        <v>59</v>
      </c>
    </row>
    <row r="619" spans="1:14" x14ac:dyDescent="0.3">
      <c r="A619">
        <v>12034649</v>
      </c>
      <c r="B619" t="s">
        <v>687</v>
      </c>
      <c r="C619" t="s">
        <v>70</v>
      </c>
      <c r="D619" s="1">
        <v>45503</v>
      </c>
      <c r="E619">
        <v>4280</v>
      </c>
      <c r="F619" t="s">
        <v>50</v>
      </c>
      <c r="G619" t="s">
        <v>55</v>
      </c>
      <c r="H619" t="s">
        <v>103</v>
      </c>
      <c r="I619" t="s">
        <v>72</v>
      </c>
      <c r="J619" t="s">
        <v>20</v>
      </c>
      <c r="K619">
        <v>0</v>
      </c>
      <c r="L619">
        <v>19</v>
      </c>
      <c r="M619" t="s">
        <v>58</v>
      </c>
      <c r="N619" t="s">
        <v>22</v>
      </c>
    </row>
    <row r="620" spans="1:14" x14ac:dyDescent="0.3">
      <c r="A620">
        <v>72762697</v>
      </c>
      <c r="B620" t="s">
        <v>688</v>
      </c>
      <c r="C620" t="s">
        <v>70</v>
      </c>
      <c r="D620" s="1">
        <v>45414</v>
      </c>
      <c r="E620">
        <v>405</v>
      </c>
      <c r="F620" t="s">
        <v>16</v>
      </c>
      <c r="G620" t="s">
        <v>25</v>
      </c>
      <c r="H620" t="s">
        <v>33</v>
      </c>
      <c r="I620" t="s">
        <v>27</v>
      </c>
      <c r="J620" t="s">
        <v>28</v>
      </c>
      <c r="K620">
        <v>0</v>
      </c>
      <c r="L620">
        <v>18</v>
      </c>
      <c r="M620" t="s">
        <v>42</v>
      </c>
      <c r="N620" t="s">
        <v>89</v>
      </c>
    </row>
    <row r="621" spans="1:14" x14ac:dyDescent="0.3">
      <c r="A621">
        <v>22864133</v>
      </c>
      <c r="B621" t="s">
        <v>689</v>
      </c>
      <c r="C621" t="s">
        <v>31</v>
      </c>
      <c r="D621" s="1">
        <v>45414</v>
      </c>
      <c r="E621">
        <v>5586</v>
      </c>
      <c r="F621" t="s">
        <v>16</v>
      </c>
      <c r="G621" t="s">
        <v>25</v>
      </c>
      <c r="H621" t="s">
        <v>40</v>
      </c>
      <c r="I621" t="s">
        <v>27</v>
      </c>
      <c r="J621" t="s">
        <v>20</v>
      </c>
      <c r="K621">
        <v>0</v>
      </c>
      <c r="L621">
        <v>43</v>
      </c>
      <c r="M621" t="s">
        <v>47</v>
      </c>
      <c r="N621" t="s">
        <v>22</v>
      </c>
    </row>
    <row r="622" spans="1:14" x14ac:dyDescent="0.3">
      <c r="A622">
        <v>95769790</v>
      </c>
      <c r="B622" t="s">
        <v>690</v>
      </c>
      <c r="C622" t="s">
        <v>75</v>
      </c>
      <c r="D622" s="1">
        <v>45457</v>
      </c>
      <c r="E622">
        <v>16737</v>
      </c>
      <c r="F622" t="s">
        <v>39</v>
      </c>
      <c r="G622" t="s">
        <v>25</v>
      </c>
      <c r="H622" t="s">
        <v>62</v>
      </c>
      <c r="I622" t="s">
        <v>72</v>
      </c>
      <c r="J622" t="s">
        <v>20</v>
      </c>
      <c r="K622">
        <v>0</v>
      </c>
      <c r="L622">
        <v>49</v>
      </c>
      <c r="M622" t="s">
        <v>58</v>
      </c>
      <c r="N622" t="s">
        <v>46</v>
      </c>
    </row>
    <row r="623" spans="1:14" x14ac:dyDescent="0.3">
      <c r="A623">
        <v>53323716</v>
      </c>
      <c r="B623" t="s">
        <v>691</v>
      </c>
      <c r="C623" t="s">
        <v>31</v>
      </c>
      <c r="D623" s="1">
        <v>45404</v>
      </c>
      <c r="E623">
        <v>23056</v>
      </c>
      <c r="F623" t="s">
        <v>39</v>
      </c>
      <c r="G623" t="s">
        <v>55</v>
      </c>
      <c r="H623" t="s">
        <v>81</v>
      </c>
      <c r="I623" t="s">
        <v>34</v>
      </c>
      <c r="J623" t="s">
        <v>79</v>
      </c>
      <c r="K623">
        <v>0</v>
      </c>
      <c r="L623">
        <v>65</v>
      </c>
      <c r="M623" t="s">
        <v>21</v>
      </c>
      <c r="N623" t="s">
        <v>48</v>
      </c>
    </row>
    <row r="624" spans="1:14" x14ac:dyDescent="0.3">
      <c r="A624">
        <v>28718652</v>
      </c>
      <c r="B624" t="s">
        <v>692</v>
      </c>
      <c r="C624" t="s">
        <v>70</v>
      </c>
      <c r="D624" s="1">
        <v>45640</v>
      </c>
      <c r="E624">
        <v>12047</v>
      </c>
      <c r="F624" t="s">
        <v>16</v>
      </c>
      <c r="G624" t="s">
        <v>71</v>
      </c>
      <c r="H624" t="s">
        <v>103</v>
      </c>
      <c r="I624" t="s">
        <v>72</v>
      </c>
      <c r="J624" t="s">
        <v>85</v>
      </c>
      <c r="K624">
        <v>1</v>
      </c>
      <c r="L624">
        <v>65</v>
      </c>
      <c r="M624" t="s">
        <v>21</v>
      </c>
      <c r="N624" t="s">
        <v>73</v>
      </c>
    </row>
    <row r="625" spans="1:14" x14ac:dyDescent="0.3">
      <c r="A625">
        <v>86847116</v>
      </c>
      <c r="B625" t="s">
        <v>693</v>
      </c>
      <c r="C625" t="s">
        <v>24</v>
      </c>
      <c r="D625" s="1">
        <v>45636</v>
      </c>
      <c r="E625">
        <v>21345</v>
      </c>
      <c r="F625" t="s">
        <v>61</v>
      </c>
      <c r="G625" t="s">
        <v>25</v>
      </c>
      <c r="H625" t="s">
        <v>62</v>
      </c>
      <c r="I625" t="s">
        <v>27</v>
      </c>
      <c r="J625" t="s">
        <v>28</v>
      </c>
      <c r="K625">
        <v>0</v>
      </c>
      <c r="L625">
        <v>12</v>
      </c>
      <c r="M625" t="s">
        <v>21</v>
      </c>
      <c r="N625" t="s">
        <v>48</v>
      </c>
    </row>
    <row r="626" spans="1:14" x14ac:dyDescent="0.3">
      <c r="A626">
        <v>31915073</v>
      </c>
      <c r="B626" t="s">
        <v>694</v>
      </c>
      <c r="C626" t="s">
        <v>101</v>
      </c>
      <c r="D626" s="1">
        <v>45387</v>
      </c>
      <c r="E626">
        <v>3902</v>
      </c>
      <c r="F626" t="s">
        <v>16</v>
      </c>
      <c r="G626" t="s">
        <v>17</v>
      </c>
      <c r="H626" t="s">
        <v>81</v>
      </c>
      <c r="I626" t="s">
        <v>72</v>
      </c>
      <c r="J626" t="s">
        <v>35</v>
      </c>
      <c r="K626">
        <v>0</v>
      </c>
      <c r="L626">
        <v>14</v>
      </c>
      <c r="M626" t="s">
        <v>29</v>
      </c>
      <c r="N626" t="s">
        <v>22</v>
      </c>
    </row>
    <row r="627" spans="1:14" x14ac:dyDescent="0.3">
      <c r="A627">
        <v>70426182</v>
      </c>
      <c r="B627" t="s">
        <v>695</v>
      </c>
      <c r="C627" t="s">
        <v>75</v>
      </c>
      <c r="D627" s="1">
        <v>45481</v>
      </c>
      <c r="E627">
        <v>10174</v>
      </c>
      <c r="F627" t="s">
        <v>50</v>
      </c>
      <c r="G627" t="s">
        <v>32</v>
      </c>
      <c r="H627" t="s">
        <v>56</v>
      </c>
      <c r="I627" t="s">
        <v>34</v>
      </c>
      <c r="J627" t="s">
        <v>52</v>
      </c>
      <c r="K627">
        <v>0</v>
      </c>
      <c r="L627">
        <v>83</v>
      </c>
      <c r="M627" t="s">
        <v>58</v>
      </c>
      <c r="N627" t="s">
        <v>22</v>
      </c>
    </row>
    <row r="628" spans="1:14" x14ac:dyDescent="0.3">
      <c r="A628">
        <v>19744223</v>
      </c>
      <c r="B628" t="s">
        <v>696</v>
      </c>
      <c r="C628" t="s">
        <v>101</v>
      </c>
      <c r="D628" s="1">
        <v>45385</v>
      </c>
      <c r="E628">
        <v>774</v>
      </c>
      <c r="F628" t="s">
        <v>50</v>
      </c>
      <c r="G628" t="s">
        <v>25</v>
      </c>
      <c r="H628" t="s">
        <v>46</v>
      </c>
      <c r="I628" t="s">
        <v>27</v>
      </c>
      <c r="J628" t="s">
        <v>35</v>
      </c>
      <c r="K628">
        <v>0</v>
      </c>
      <c r="L628">
        <v>77</v>
      </c>
      <c r="M628" t="s">
        <v>47</v>
      </c>
      <c r="N628" t="s">
        <v>36</v>
      </c>
    </row>
    <row r="629" spans="1:14" x14ac:dyDescent="0.3">
      <c r="A629">
        <v>94653682</v>
      </c>
      <c r="B629" t="s">
        <v>697</v>
      </c>
      <c r="C629" t="s">
        <v>77</v>
      </c>
      <c r="D629" s="1">
        <v>45307</v>
      </c>
      <c r="E629">
        <v>15042</v>
      </c>
      <c r="F629" t="s">
        <v>16</v>
      </c>
      <c r="G629" t="s">
        <v>25</v>
      </c>
      <c r="H629" t="s">
        <v>56</v>
      </c>
      <c r="I629" t="s">
        <v>27</v>
      </c>
      <c r="J629" t="s">
        <v>41</v>
      </c>
      <c r="K629">
        <v>0</v>
      </c>
      <c r="L629">
        <v>54</v>
      </c>
      <c r="M629" t="s">
        <v>58</v>
      </c>
      <c r="N629" t="s">
        <v>43</v>
      </c>
    </row>
    <row r="630" spans="1:14" x14ac:dyDescent="0.3">
      <c r="A630">
        <v>85995240</v>
      </c>
      <c r="B630" t="s">
        <v>698</v>
      </c>
      <c r="C630" t="s">
        <v>31</v>
      </c>
      <c r="D630" s="1">
        <v>45447</v>
      </c>
      <c r="E630">
        <v>4239</v>
      </c>
      <c r="F630" t="s">
        <v>16</v>
      </c>
      <c r="G630" t="s">
        <v>25</v>
      </c>
      <c r="H630" t="s">
        <v>40</v>
      </c>
      <c r="I630" t="s">
        <v>72</v>
      </c>
      <c r="J630" t="s">
        <v>35</v>
      </c>
      <c r="K630">
        <v>0</v>
      </c>
      <c r="L630">
        <v>21</v>
      </c>
      <c r="M630" t="s">
        <v>21</v>
      </c>
      <c r="N630" t="s">
        <v>43</v>
      </c>
    </row>
    <row r="631" spans="1:14" x14ac:dyDescent="0.3">
      <c r="A631">
        <v>46368627</v>
      </c>
      <c r="B631" t="s">
        <v>699</v>
      </c>
      <c r="C631" t="s">
        <v>15</v>
      </c>
      <c r="D631" s="1">
        <v>45624</v>
      </c>
      <c r="E631">
        <v>18959</v>
      </c>
      <c r="F631" t="s">
        <v>39</v>
      </c>
      <c r="G631" t="s">
        <v>17</v>
      </c>
      <c r="H631" t="s">
        <v>81</v>
      </c>
      <c r="I631" t="s">
        <v>34</v>
      </c>
      <c r="J631" t="s">
        <v>79</v>
      </c>
      <c r="K631">
        <v>1</v>
      </c>
      <c r="L631">
        <v>83</v>
      </c>
      <c r="M631" t="s">
        <v>58</v>
      </c>
      <c r="N631" t="s">
        <v>22</v>
      </c>
    </row>
    <row r="632" spans="1:14" x14ac:dyDescent="0.3">
      <c r="A632">
        <v>88151482</v>
      </c>
      <c r="B632" t="s">
        <v>700</v>
      </c>
      <c r="C632" t="s">
        <v>45</v>
      </c>
      <c r="D632" s="1">
        <v>45505</v>
      </c>
      <c r="E632">
        <v>21528</v>
      </c>
      <c r="F632" t="s">
        <v>61</v>
      </c>
      <c r="G632" t="s">
        <v>71</v>
      </c>
      <c r="H632" t="s">
        <v>46</v>
      </c>
      <c r="I632" t="s">
        <v>34</v>
      </c>
      <c r="J632" t="s">
        <v>57</v>
      </c>
      <c r="K632">
        <v>0</v>
      </c>
      <c r="L632">
        <v>44</v>
      </c>
      <c r="M632" t="s">
        <v>47</v>
      </c>
      <c r="N632" t="s">
        <v>48</v>
      </c>
    </row>
    <row r="633" spans="1:14" x14ac:dyDescent="0.3">
      <c r="A633">
        <v>39189630</v>
      </c>
      <c r="B633" t="s">
        <v>701</v>
      </c>
      <c r="C633" t="s">
        <v>31</v>
      </c>
      <c r="D633" s="1">
        <v>45529</v>
      </c>
      <c r="E633">
        <v>16250</v>
      </c>
      <c r="F633" t="s">
        <v>61</v>
      </c>
      <c r="G633" t="s">
        <v>17</v>
      </c>
      <c r="H633" t="s">
        <v>51</v>
      </c>
      <c r="I633" t="s">
        <v>34</v>
      </c>
      <c r="J633" t="s">
        <v>85</v>
      </c>
      <c r="K633">
        <v>1</v>
      </c>
      <c r="L633">
        <v>74</v>
      </c>
      <c r="M633" t="s">
        <v>65</v>
      </c>
      <c r="N633" t="s">
        <v>89</v>
      </c>
    </row>
    <row r="634" spans="1:14" x14ac:dyDescent="0.3">
      <c r="A634">
        <v>61537820</v>
      </c>
      <c r="B634" t="s">
        <v>702</v>
      </c>
      <c r="C634" t="s">
        <v>24</v>
      </c>
      <c r="D634" s="1">
        <v>45584</v>
      </c>
      <c r="E634">
        <v>19002</v>
      </c>
      <c r="F634" t="s">
        <v>16</v>
      </c>
      <c r="G634" t="s">
        <v>25</v>
      </c>
      <c r="H634" t="s">
        <v>18</v>
      </c>
      <c r="I634" t="s">
        <v>27</v>
      </c>
      <c r="J634" t="s">
        <v>20</v>
      </c>
      <c r="K634">
        <v>0</v>
      </c>
      <c r="L634">
        <v>92</v>
      </c>
      <c r="M634" t="s">
        <v>65</v>
      </c>
      <c r="N634" t="s">
        <v>48</v>
      </c>
    </row>
    <row r="635" spans="1:14" x14ac:dyDescent="0.3">
      <c r="A635">
        <v>82002595</v>
      </c>
      <c r="B635" t="s">
        <v>703</v>
      </c>
      <c r="C635" t="s">
        <v>54</v>
      </c>
      <c r="D635" s="1">
        <v>45456</v>
      </c>
      <c r="E635">
        <v>11604</v>
      </c>
      <c r="F635" t="s">
        <v>39</v>
      </c>
      <c r="G635" t="s">
        <v>71</v>
      </c>
      <c r="H635" t="s">
        <v>26</v>
      </c>
      <c r="I635" t="s">
        <v>19</v>
      </c>
      <c r="J635" t="s">
        <v>28</v>
      </c>
      <c r="K635">
        <v>0</v>
      </c>
      <c r="L635">
        <v>67</v>
      </c>
      <c r="M635" t="s">
        <v>42</v>
      </c>
      <c r="N635" t="s">
        <v>22</v>
      </c>
    </row>
    <row r="636" spans="1:14" x14ac:dyDescent="0.3">
      <c r="A636">
        <v>91507913</v>
      </c>
      <c r="B636" t="s">
        <v>704</v>
      </c>
      <c r="C636" t="s">
        <v>45</v>
      </c>
      <c r="D636" s="1">
        <v>45408</v>
      </c>
      <c r="E636">
        <v>10560</v>
      </c>
      <c r="F636" t="s">
        <v>16</v>
      </c>
      <c r="G636" t="s">
        <v>17</v>
      </c>
      <c r="H636" t="s">
        <v>26</v>
      </c>
      <c r="I636" t="s">
        <v>34</v>
      </c>
      <c r="J636" t="s">
        <v>79</v>
      </c>
      <c r="K636">
        <v>0</v>
      </c>
      <c r="L636">
        <v>18</v>
      </c>
      <c r="M636" t="s">
        <v>47</v>
      </c>
      <c r="N636" t="s">
        <v>36</v>
      </c>
    </row>
    <row r="637" spans="1:14" x14ac:dyDescent="0.3">
      <c r="A637">
        <v>39547838</v>
      </c>
      <c r="B637" t="s">
        <v>705</v>
      </c>
      <c r="C637" t="s">
        <v>24</v>
      </c>
      <c r="D637" s="1">
        <v>45353</v>
      </c>
      <c r="E637">
        <v>7799</v>
      </c>
      <c r="F637" t="s">
        <v>16</v>
      </c>
      <c r="G637" t="s">
        <v>17</v>
      </c>
      <c r="H637" t="s">
        <v>33</v>
      </c>
      <c r="I637" t="s">
        <v>34</v>
      </c>
      <c r="J637" t="s">
        <v>52</v>
      </c>
      <c r="K637">
        <v>0</v>
      </c>
      <c r="L637">
        <v>60</v>
      </c>
      <c r="M637" t="s">
        <v>47</v>
      </c>
      <c r="N637" t="s">
        <v>22</v>
      </c>
    </row>
    <row r="638" spans="1:14" x14ac:dyDescent="0.3">
      <c r="A638">
        <v>81365126</v>
      </c>
      <c r="B638" t="s">
        <v>706</v>
      </c>
      <c r="C638" t="s">
        <v>15</v>
      </c>
      <c r="D638" s="1">
        <v>45442</v>
      </c>
      <c r="E638">
        <v>24571</v>
      </c>
      <c r="F638" t="s">
        <v>61</v>
      </c>
      <c r="G638" t="s">
        <v>25</v>
      </c>
      <c r="H638" t="s">
        <v>103</v>
      </c>
      <c r="I638" t="s">
        <v>19</v>
      </c>
      <c r="J638" t="s">
        <v>20</v>
      </c>
      <c r="K638">
        <v>0</v>
      </c>
      <c r="L638">
        <v>93</v>
      </c>
      <c r="M638" t="s">
        <v>58</v>
      </c>
      <c r="N638" t="s">
        <v>63</v>
      </c>
    </row>
    <row r="639" spans="1:14" x14ac:dyDescent="0.3">
      <c r="A639">
        <v>87649430</v>
      </c>
      <c r="B639" t="s">
        <v>707</v>
      </c>
      <c r="C639" t="s">
        <v>15</v>
      </c>
      <c r="D639" s="1">
        <v>45395</v>
      </c>
      <c r="E639">
        <v>8937</v>
      </c>
      <c r="F639" t="s">
        <v>16</v>
      </c>
      <c r="G639" t="s">
        <v>17</v>
      </c>
      <c r="H639" t="s">
        <v>56</v>
      </c>
      <c r="I639" t="s">
        <v>72</v>
      </c>
      <c r="J639" t="s">
        <v>35</v>
      </c>
      <c r="K639">
        <v>0</v>
      </c>
      <c r="L639">
        <v>69</v>
      </c>
      <c r="M639" t="s">
        <v>21</v>
      </c>
      <c r="N639" t="s">
        <v>22</v>
      </c>
    </row>
    <row r="640" spans="1:14" x14ac:dyDescent="0.3">
      <c r="A640">
        <v>61414476</v>
      </c>
      <c r="B640" t="s">
        <v>708</v>
      </c>
      <c r="C640" t="s">
        <v>101</v>
      </c>
      <c r="D640" s="1">
        <v>45418</v>
      </c>
      <c r="E640">
        <v>23681</v>
      </c>
      <c r="F640" t="s">
        <v>50</v>
      </c>
      <c r="G640" t="s">
        <v>71</v>
      </c>
      <c r="H640" t="s">
        <v>62</v>
      </c>
      <c r="I640" t="s">
        <v>27</v>
      </c>
      <c r="J640" t="s">
        <v>28</v>
      </c>
      <c r="K640">
        <v>0</v>
      </c>
      <c r="L640">
        <v>88</v>
      </c>
      <c r="M640" t="s">
        <v>58</v>
      </c>
      <c r="N640" t="s">
        <v>46</v>
      </c>
    </row>
    <row r="641" spans="1:14" x14ac:dyDescent="0.3">
      <c r="A641">
        <v>99425096</v>
      </c>
      <c r="B641" t="s">
        <v>709</v>
      </c>
      <c r="C641" t="s">
        <v>101</v>
      </c>
      <c r="D641" s="1">
        <v>45419</v>
      </c>
      <c r="E641">
        <v>17379</v>
      </c>
      <c r="F641" t="s">
        <v>39</v>
      </c>
      <c r="G641" t="s">
        <v>55</v>
      </c>
      <c r="H641" t="s">
        <v>26</v>
      </c>
      <c r="I641" t="s">
        <v>27</v>
      </c>
      <c r="J641" t="s">
        <v>35</v>
      </c>
      <c r="K641">
        <v>0</v>
      </c>
      <c r="L641">
        <v>52</v>
      </c>
      <c r="M641" t="s">
        <v>21</v>
      </c>
      <c r="N641" t="s">
        <v>89</v>
      </c>
    </row>
    <row r="642" spans="1:14" x14ac:dyDescent="0.3">
      <c r="A642">
        <v>89284885</v>
      </c>
      <c r="B642" t="s">
        <v>710</v>
      </c>
      <c r="C642" t="s">
        <v>77</v>
      </c>
      <c r="D642" s="1">
        <v>45390</v>
      </c>
      <c r="E642">
        <v>10328</v>
      </c>
      <c r="F642" t="s">
        <v>16</v>
      </c>
      <c r="G642" t="s">
        <v>71</v>
      </c>
      <c r="H642" t="s">
        <v>56</v>
      </c>
      <c r="I642" t="s">
        <v>27</v>
      </c>
      <c r="J642" t="s">
        <v>52</v>
      </c>
      <c r="K642">
        <v>0</v>
      </c>
      <c r="L642">
        <v>26</v>
      </c>
      <c r="M642" t="s">
        <v>29</v>
      </c>
      <c r="N642" t="s">
        <v>22</v>
      </c>
    </row>
    <row r="643" spans="1:14" x14ac:dyDescent="0.3">
      <c r="A643">
        <v>95752087</v>
      </c>
      <c r="B643" t="s">
        <v>711</v>
      </c>
      <c r="C643" t="s">
        <v>75</v>
      </c>
      <c r="D643" s="1">
        <v>45343</v>
      </c>
      <c r="E643">
        <v>14395</v>
      </c>
      <c r="F643" t="s">
        <v>16</v>
      </c>
      <c r="G643" t="s">
        <v>17</v>
      </c>
      <c r="H643" t="s">
        <v>18</v>
      </c>
      <c r="I643" t="s">
        <v>72</v>
      </c>
      <c r="J643" t="s">
        <v>20</v>
      </c>
      <c r="K643">
        <v>1</v>
      </c>
      <c r="L643">
        <v>40</v>
      </c>
      <c r="M643" t="s">
        <v>47</v>
      </c>
      <c r="N643" t="s">
        <v>22</v>
      </c>
    </row>
    <row r="644" spans="1:14" x14ac:dyDescent="0.3">
      <c r="A644">
        <v>14011955</v>
      </c>
      <c r="B644" t="s">
        <v>712</v>
      </c>
      <c r="C644" t="s">
        <v>45</v>
      </c>
      <c r="D644" s="1">
        <v>45611</v>
      </c>
      <c r="E644">
        <v>22345</v>
      </c>
      <c r="F644" t="s">
        <v>39</v>
      </c>
      <c r="G644" t="s">
        <v>32</v>
      </c>
      <c r="H644" t="s">
        <v>18</v>
      </c>
      <c r="I644" t="s">
        <v>34</v>
      </c>
      <c r="J644" t="s">
        <v>20</v>
      </c>
      <c r="K644">
        <v>1</v>
      </c>
      <c r="L644">
        <v>46</v>
      </c>
      <c r="M644" t="s">
        <v>47</v>
      </c>
      <c r="N644" t="s">
        <v>59</v>
      </c>
    </row>
    <row r="645" spans="1:14" x14ac:dyDescent="0.3">
      <c r="A645">
        <v>84483809</v>
      </c>
      <c r="B645" t="s">
        <v>713</v>
      </c>
      <c r="C645" t="s">
        <v>45</v>
      </c>
      <c r="D645" s="1">
        <v>45348</v>
      </c>
      <c r="E645">
        <v>2072</v>
      </c>
      <c r="F645" t="s">
        <v>16</v>
      </c>
      <c r="G645" t="s">
        <v>25</v>
      </c>
      <c r="H645" t="s">
        <v>81</v>
      </c>
      <c r="I645" t="s">
        <v>34</v>
      </c>
      <c r="J645" t="s">
        <v>41</v>
      </c>
      <c r="K645">
        <v>0</v>
      </c>
      <c r="L645">
        <v>83</v>
      </c>
      <c r="M645" t="s">
        <v>65</v>
      </c>
      <c r="N645" t="s">
        <v>48</v>
      </c>
    </row>
    <row r="646" spans="1:14" x14ac:dyDescent="0.3">
      <c r="A646">
        <v>90482479</v>
      </c>
      <c r="B646" t="s">
        <v>714</v>
      </c>
      <c r="C646" t="s">
        <v>24</v>
      </c>
      <c r="D646" s="1">
        <v>45342</v>
      </c>
      <c r="E646">
        <v>3377</v>
      </c>
      <c r="F646" t="s">
        <v>16</v>
      </c>
      <c r="G646" t="s">
        <v>25</v>
      </c>
      <c r="H646" t="s">
        <v>56</v>
      </c>
      <c r="I646" t="s">
        <v>72</v>
      </c>
      <c r="J646" t="s">
        <v>57</v>
      </c>
      <c r="K646">
        <v>0</v>
      </c>
      <c r="L646">
        <v>26</v>
      </c>
      <c r="M646" t="s">
        <v>65</v>
      </c>
      <c r="N646" t="s">
        <v>22</v>
      </c>
    </row>
    <row r="647" spans="1:14" x14ac:dyDescent="0.3">
      <c r="A647">
        <v>57653865</v>
      </c>
      <c r="B647" t="s">
        <v>715</v>
      </c>
      <c r="C647" t="s">
        <v>70</v>
      </c>
      <c r="D647" s="1">
        <v>45564</v>
      </c>
      <c r="E647">
        <v>16820</v>
      </c>
      <c r="F647" t="s">
        <v>39</v>
      </c>
      <c r="G647" t="s">
        <v>71</v>
      </c>
      <c r="H647" t="s">
        <v>81</v>
      </c>
      <c r="I647" t="s">
        <v>72</v>
      </c>
      <c r="J647" t="s">
        <v>20</v>
      </c>
      <c r="K647">
        <v>0</v>
      </c>
      <c r="L647">
        <v>18</v>
      </c>
      <c r="M647" t="s">
        <v>47</v>
      </c>
      <c r="N647" t="s">
        <v>46</v>
      </c>
    </row>
    <row r="648" spans="1:14" x14ac:dyDescent="0.3">
      <c r="A648">
        <v>46719791</v>
      </c>
      <c r="B648" t="s">
        <v>716</v>
      </c>
      <c r="C648" t="s">
        <v>54</v>
      </c>
      <c r="D648" s="1">
        <v>45534</v>
      </c>
      <c r="E648">
        <v>3214</v>
      </c>
      <c r="F648" t="s">
        <v>50</v>
      </c>
      <c r="G648" t="s">
        <v>32</v>
      </c>
      <c r="H648" t="s">
        <v>40</v>
      </c>
      <c r="I648" t="s">
        <v>27</v>
      </c>
      <c r="J648" t="s">
        <v>79</v>
      </c>
      <c r="K648">
        <v>0</v>
      </c>
      <c r="L648">
        <v>45</v>
      </c>
      <c r="M648" t="s">
        <v>47</v>
      </c>
      <c r="N648" t="s">
        <v>73</v>
      </c>
    </row>
    <row r="649" spans="1:14" x14ac:dyDescent="0.3">
      <c r="A649">
        <v>55782879</v>
      </c>
      <c r="B649" t="s">
        <v>717</v>
      </c>
      <c r="C649" t="s">
        <v>15</v>
      </c>
      <c r="D649" s="1">
        <v>45334</v>
      </c>
      <c r="E649">
        <v>4651</v>
      </c>
      <c r="F649" t="s">
        <v>16</v>
      </c>
      <c r="G649" t="s">
        <v>17</v>
      </c>
      <c r="H649" t="s">
        <v>40</v>
      </c>
      <c r="I649" t="s">
        <v>27</v>
      </c>
      <c r="J649" t="s">
        <v>20</v>
      </c>
      <c r="K649">
        <v>0</v>
      </c>
      <c r="L649">
        <v>82</v>
      </c>
      <c r="M649" t="s">
        <v>42</v>
      </c>
      <c r="N649" t="s">
        <v>63</v>
      </c>
    </row>
    <row r="650" spans="1:14" x14ac:dyDescent="0.3">
      <c r="A650">
        <v>19369577</v>
      </c>
      <c r="B650" t="s">
        <v>718</v>
      </c>
      <c r="C650" t="s">
        <v>38</v>
      </c>
      <c r="D650" s="1">
        <v>45526</v>
      </c>
      <c r="E650">
        <v>11666</v>
      </c>
      <c r="F650" t="s">
        <v>16</v>
      </c>
      <c r="G650" t="s">
        <v>32</v>
      </c>
      <c r="H650" t="s">
        <v>56</v>
      </c>
      <c r="I650" t="s">
        <v>34</v>
      </c>
      <c r="J650" t="s">
        <v>41</v>
      </c>
      <c r="K650">
        <v>0</v>
      </c>
      <c r="L650">
        <v>49</v>
      </c>
      <c r="M650" t="s">
        <v>65</v>
      </c>
      <c r="N650" t="s">
        <v>73</v>
      </c>
    </row>
    <row r="651" spans="1:14" x14ac:dyDescent="0.3">
      <c r="A651">
        <v>61969357</v>
      </c>
      <c r="B651" t="s">
        <v>719</v>
      </c>
      <c r="C651" t="s">
        <v>45</v>
      </c>
      <c r="D651" s="1">
        <v>45550</v>
      </c>
      <c r="E651">
        <v>16460</v>
      </c>
      <c r="F651" t="s">
        <v>39</v>
      </c>
      <c r="G651" t="s">
        <v>55</v>
      </c>
      <c r="H651" t="s">
        <v>56</v>
      </c>
      <c r="I651" t="s">
        <v>27</v>
      </c>
      <c r="J651" t="s">
        <v>52</v>
      </c>
      <c r="K651">
        <v>0</v>
      </c>
      <c r="L651">
        <v>11</v>
      </c>
      <c r="M651" t="s">
        <v>65</v>
      </c>
      <c r="N651" t="s">
        <v>89</v>
      </c>
    </row>
    <row r="652" spans="1:14" x14ac:dyDescent="0.3">
      <c r="A652">
        <v>12068844</v>
      </c>
      <c r="B652" t="s">
        <v>720</v>
      </c>
      <c r="C652" t="s">
        <v>54</v>
      </c>
      <c r="D652" s="1">
        <v>45358</v>
      </c>
      <c r="E652">
        <v>6734</v>
      </c>
      <c r="F652" t="s">
        <v>16</v>
      </c>
      <c r="G652" t="s">
        <v>55</v>
      </c>
      <c r="H652" t="s">
        <v>46</v>
      </c>
      <c r="I652" t="s">
        <v>34</v>
      </c>
      <c r="J652" t="s">
        <v>85</v>
      </c>
      <c r="K652">
        <v>0</v>
      </c>
      <c r="L652">
        <v>41</v>
      </c>
      <c r="M652" t="s">
        <v>58</v>
      </c>
      <c r="N652" t="s">
        <v>46</v>
      </c>
    </row>
    <row r="653" spans="1:14" x14ac:dyDescent="0.3">
      <c r="A653">
        <v>72334336</v>
      </c>
      <c r="B653" t="s">
        <v>721</v>
      </c>
      <c r="C653" t="s">
        <v>54</v>
      </c>
      <c r="D653" s="1">
        <v>45427</v>
      </c>
      <c r="E653">
        <v>560</v>
      </c>
      <c r="F653" t="s">
        <v>39</v>
      </c>
      <c r="G653" t="s">
        <v>17</v>
      </c>
      <c r="H653" t="s">
        <v>33</v>
      </c>
      <c r="I653" t="s">
        <v>27</v>
      </c>
      <c r="J653" t="s">
        <v>68</v>
      </c>
      <c r="K653">
        <v>0</v>
      </c>
      <c r="L653">
        <v>47</v>
      </c>
      <c r="M653" t="s">
        <v>47</v>
      </c>
      <c r="N653" t="s">
        <v>22</v>
      </c>
    </row>
    <row r="654" spans="1:14" x14ac:dyDescent="0.3">
      <c r="A654">
        <v>53648206</v>
      </c>
      <c r="B654" t="s">
        <v>722</v>
      </c>
      <c r="C654" t="s">
        <v>54</v>
      </c>
      <c r="D654" s="1">
        <v>45503</v>
      </c>
      <c r="E654">
        <v>10282</v>
      </c>
      <c r="F654" t="s">
        <v>39</v>
      </c>
      <c r="G654" t="s">
        <v>25</v>
      </c>
      <c r="H654" t="s">
        <v>103</v>
      </c>
      <c r="I654" t="s">
        <v>19</v>
      </c>
      <c r="J654" t="s">
        <v>52</v>
      </c>
      <c r="K654">
        <v>0</v>
      </c>
      <c r="L654">
        <v>70</v>
      </c>
      <c r="M654" t="s">
        <v>21</v>
      </c>
      <c r="N654" t="s">
        <v>59</v>
      </c>
    </row>
    <row r="655" spans="1:14" x14ac:dyDescent="0.3">
      <c r="A655">
        <v>74838611</v>
      </c>
      <c r="B655" t="s">
        <v>723</v>
      </c>
      <c r="C655" t="s">
        <v>31</v>
      </c>
      <c r="D655" s="1">
        <v>45401</v>
      </c>
      <c r="E655">
        <v>15242</v>
      </c>
      <c r="F655" t="s">
        <v>16</v>
      </c>
      <c r="G655" t="s">
        <v>55</v>
      </c>
      <c r="H655" t="s">
        <v>51</v>
      </c>
      <c r="I655" t="s">
        <v>27</v>
      </c>
      <c r="J655" t="s">
        <v>85</v>
      </c>
      <c r="K655">
        <v>1</v>
      </c>
      <c r="L655">
        <v>85</v>
      </c>
      <c r="M655" t="s">
        <v>47</v>
      </c>
      <c r="N655" t="s">
        <v>36</v>
      </c>
    </row>
    <row r="656" spans="1:14" x14ac:dyDescent="0.3">
      <c r="A656">
        <v>92869561</v>
      </c>
      <c r="B656" t="s">
        <v>724</v>
      </c>
      <c r="C656" t="s">
        <v>101</v>
      </c>
      <c r="D656" s="1">
        <v>45398</v>
      </c>
      <c r="E656">
        <v>13434</v>
      </c>
      <c r="F656" t="s">
        <v>16</v>
      </c>
      <c r="G656" t="s">
        <v>55</v>
      </c>
      <c r="H656" t="s">
        <v>40</v>
      </c>
      <c r="I656" t="s">
        <v>72</v>
      </c>
      <c r="J656" t="s">
        <v>28</v>
      </c>
      <c r="K656">
        <v>0</v>
      </c>
      <c r="L656">
        <v>88</v>
      </c>
      <c r="M656" t="s">
        <v>21</v>
      </c>
      <c r="N656" t="s">
        <v>46</v>
      </c>
    </row>
    <row r="657" spans="1:14" x14ac:dyDescent="0.3">
      <c r="A657">
        <v>64384674</v>
      </c>
      <c r="B657" t="s">
        <v>725</v>
      </c>
      <c r="C657" t="s">
        <v>70</v>
      </c>
      <c r="D657" s="1">
        <v>45459</v>
      </c>
      <c r="E657">
        <v>19675</v>
      </c>
      <c r="F657" t="s">
        <v>39</v>
      </c>
      <c r="G657" t="s">
        <v>71</v>
      </c>
      <c r="H657" t="s">
        <v>51</v>
      </c>
      <c r="I657" t="s">
        <v>19</v>
      </c>
      <c r="J657" t="s">
        <v>57</v>
      </c>
      <c r="K657">
        <v>1</v>
      </c>
      <c r="L657">
        <v>60</v>
      </c>
      <c r="M657" t="s">
        <v>42</v>
      </c>
      <c r="N657" t="s">
        <v>22</v>
      </c>
    </row>
    <row r="658" spans="1:14" x14ac:dyDescent="0.3">
      <c r="A658">
        <v>48333941</v>
      </c>
      <c r="B658" t="s">
        <v>726</v>
      </c>
      <c r="C658" t="s">
        <v>77</v>
      </c>
      <c r="D658" s="1">
        <v>45445</v>
      </c>
      <c r="E658">
        <v>17514</v>
      </c>
      <c r="F658" t="s">
        <v>16</v>
      </c>
      <c r="G658" t="s">
        <v>71</v>
      </c>
      <c r="H658" t="s">
        <v>40</v>
      </c>
      <c r="I658" t="s">
        <v>72</v>
      </c>
      <c r="J658" t="s">
        <v>20</v>
      </c>
      <c r="K658">
        <v>0</v>
      </c>
      <c r="L658">
        <v>90</v>
      </c>
      <c r="M658" t="s">
        <v>65</v>
      </c>
      <c r="N658" t="s">
        <v>43</v>
      </c>
    </row>
    <row r="659" spans="1:14" x14ac:dyDescent="0.3">
      <c r="A659">
        <v>40328186</v>
      </c>
      <c r="B659" t="s">
        <v>727</v>
      </c>
      <c r="C659" t="s">
        <v>24</v>
      </c>
      <c r="D659" s="1">
        <v>45535</v>
      </c>
      <c r="E659">
        <v>12486</v>
      </c>
      <c r="F659" t="s">
        <v>16</v>
      </c>
      <c r="G659" t="s">
        <v>17</v>
      </c>
      <c r="H659" t="s">
        <v>103</v>
      </c>
      <c r="I659" t="s">
        <v>19</v>
      </c>
      <c r="J659" t="s">
        <v>79</v>
      </c>
      <c r="K659">
        <v>1</v>
      </c>
      <c r="L659">
        <v>26</v>
      </c>
      <c r="M659" t="s">
        <v>42</v>
      </c>
      <c r="N659" t="s">
        <v>89</v>
      </c>
    </row>
    <row r="660" spans="1:14" x14ac:dyDescent="0.3">
      <c r="A660">
        <v>37484314</v>
      </c>
      <c r="B660" t="s">
        <v>728</v>
      </c>
      <c r="C660" t="s">
        <v>15</v>
      </c>
      <c r="D660" s="1">
        <v>45507</v>
      </c>
      <c r="E660">
        <v>1920</v>
      </c>
      <c r="F660" t="s">
        <v>39</v>
      </c>
      <c r="G660" t="s">
        <v>25</v>
      </c>
      <c r="H660" t="s">
        <v>33</v>
      </c>
      <c r="I660" t="s">
        <v>27</v>
      </c>
      <c r="J660" t="s">
        <v>20</v>
      </c>
      <c r="K660">
        <v>0</v>
      </c>
      <c r="L660">
        <v>17</v>
      </c>
      <c r="M660" t="s">
        <v>42</v>
      </c>
      <c r="N660" t="s">
        <v>43</v>
      </c>
    </row>
    <row r="661" spans="1:14" x14ac:dyDescent="0.3">
      <c r="A661">
        <v>38402494</v>
      </c>
      <c r="B661" t="s">
        <v>729</v>
      </c>
      <c r="C661" t="s">
        <v>15</v>
      </c>
      <c r="D661" s="1">
        <v>45348</v>
      </c>
      <c r="E661">
        <v>15753</v>
      </c>
      <c r="F661" t="s">
        <v>16</v>
      </c>
      <c r="G661" t="s">
        <v>25</v>
      </c>
      <c r="H661" t="s">
        <v>46</v>
      </c>
      <c r="I661" t="s">
        <v>19</v>
      </c>
      <c r="J661" t="s">
        <v>79</v>
      </c>
      <c r="K661">
        <v>0</v>
      </c>
      <c r="L661">
        <v>83</v>
      </c>
      <c r="M661" t="s">
        <v>21</v>
      </c>
      <c r="N661" t="s">
        <v>48</v>
      </c>
    </row>
    <row r="662" spans="1:14" x14ac:dyDescent="0.3">
      <c r="A662">
        <v>79478882</v>
      </c>
      <c r="B662" t="s">
        <v>730</v>
      </c>
      <c r="C662" t="s">
        <v>101</v>
      </c>
      <c r="D662" s="1">
        <v>45619</v>
      </c>
      <c r="E662">
        <v>6153</v>
      </c>
      <c r="F662" t="s">
        <v>16</v>
      </c>
      <c r="G662" t="s">
        <v>32</v>
      </c>
      <c r="H662" t="s">
        <v>26</v>
      </c>
      <c r="I662" t="s">
        <v>72</v>
      </c>
      <c r="J662" t="s">
        <v>68</v>
      </c>
      <c r="K662">
        <v>0</v>
      </c>
      <c r="L662">
        <v>62</v>
      </c>
      <c r="M662" t="s">
        <v>42</v>
      </c>
      <c r="N662" t="s">
        <v>87</v>
      </c>
    </row>
    <row r="663" spans="1:14" x14ac:dyDescent="0.3">
      <c r="A663">
        <v>23385573</v>
      </c>
      <c r="B663" t="s">
        <v>731</v>
      </c>
      <c r="C663" t="s">
        <v>54</v>
      </c>
      <c r="D663" s="1">
        <v>45378</v>
      </c>
      <c r="E663">
        <v>15891</v>
      </c>
      <c r="F663" t="s">
        <v>61</v>
      </c>
      <c r="G663" t="s">
        <v>17</v>
      </c>
      <c r="H663" t="s">
        <v>51</v>
      </c>
      <c r="I663" t="s">
        <v>19</v>
      </c>
      <c r="J663" t="s">
        <v>20</v>
      </c>
      <c r="K663">
        <v>1</v>
      </c>
      <c r="L663">
        <v>60</v>
      </c>
      <c r="M663" t="s">
        <v>29</v>
      </c>
      <c r="N663" t="s">
        <v>87</v>
      </c>
    </row>
    <row r="664" spans="1:14" x14ac:dyDescent="0.3">
      <c r="A664">
        <v>97070178</v>
      </c>
      <c r="B664" t="s">
        <v>732</v>
      </c>
      <c r="C664" t="s">
        <v>45</v>
      </c>
      <c r="D664" s="1">
        <v>45392</v>
      </c>
      <c r="E664">
        <v>18085</v>
      </c>
      <c r="F664" t="s">
        <v>16</v>
      </c>
      <c r="G664" t="s">
        <v>25</v>
      </c>
      <c r="H664" t="s">
        <v>40</v>
      </c>
      <c r="I664" t="s">
        <v>34</v>
      </c>
      <c r="J664" t="s">
        <v>28</v>
      </c>
      <c r="K664">
        <v>0</v>
      </c>
      <c r="L664">
        <v>52</v>
      </c>
      <c r="M664" t="s">
        <v>58</v>
      </c>
      <c r="N664" t="s">
        <v>43</v>
      </c>
    </row>
    <row r="665" spans="1:14" x14ac:dyDescent="0.3">
      <c r="A665">
        <v>32004807</v>
      </c>
      <c r="B665" t="s">
        <v>733</v>
      </c>
      <c r="C665" t="s">
        <v>77</v>
      </c>
      <c r="D665" s="1">
        <v>45335</v>
      </c>
      <c r="E665">
        <v>23420</v>
      </c>
      <c r="F665" t="s">
        <v>50</v>
      </c>
      <c r="G665" t="s">
        <v>17</v>
      </c>
      <c r="H665" t="s">
        <v>46</v>
      </c>
      <c r="I665" t="s">
        <v>27</v>
      </c>
      <c r="J665" t="s">
        <v>41</v>
      </c>
      <c r="K665">
        <v>0</v>
      </c>
      <c r="L665">
        <v>39</v>
      </c>
      <c r="M665" t="s">
        <v>21</v>
      </c>
      <c r="N665" t="s">
        <v>87</v>
      </c>
    </row>
    <row r="666" spans="1:14" x14ac:dyDescent="0.3">
      <c r="A666">
        <v>41793259</v>
      </c>
      <c r="B666" t="s">
        <v>734</v>
      </c>
      <c r="C666" t="s">
        <v>24</v>
      </c>
      <c r="D666" s="1">
        <v>45288</v>
      </c>
      <c r="E666">
        <v>12408</v>
      </c>
      <c r="F666" t="s">
        <v>61</v>
      </c>
      <c r="G666" t="s">
        <v>32</v>
      </c>
      <c r="H666" t="s">
        <v>33</v>
      </c>
      <c r="I666" t="s">
        <v>19</v>
      </c>
      <c r="J666" t="s">
        <v>57</v>
      </c>
      <c r="K666">
        <v>0</v>
      </c>
      <c r="L666">
        <v>74</v>
      </c>
      <c r="M666" t="s">
        <v>21</v>
      </c>
      <c r="N666" t="s">
        <v>73</v>
      </c>
    </row>
    <row r="667" spans="1:14" x14ac:dyDescent="0.3">
      <c r="A667">
        <v>35934817</v>
      </c>
      <c r="B667" t="s">
        <v>735</v>
      </c>
      <c r="C667" t="s">
        <v>31</v>
      </c>
      <c r="D667" s="1">
        <v>45357</v>
      </c>
      <c r="E667">
        <v>18798</v>
      </c>
      <c r="F667" t="s">
        <v>39</v>
      </c>
      <c r="G667" t="s">
        <v>25</v>
      </c>
      <c r="H667" t="s">
        <v>26</v>
      </c>
      <c r="I667" t="s">
        <v>19</v>
      </c>
      <c r="J667" t="s">
        <v>20</v>
      </c>
      <c r="K667">
        <v>1</v>
      </c>
      <c r="L667">
        <v>20</v>
      </c>
      <c r="M667" t="s">
        <v>65</v>
      </c>
      <c r="N667" t="s">
        <v>36</v>
      </c>
    </row>
    <row r="668" spans="1:14" x14ac:dyDescent="0.3">
      <c r="A668">
        <v>43817969</v>
      </c>
      <c r="B668" t="s">
        <v>736</v>
      </c>
      <c r="C668" t="s">
        <v>75</v>
      </c>
      <c r="D668" s="1">
        <v>45590</v>
      </c>
      <c r="E668">
        <v>24119</v>
      </c>
      <c r="F668" t="s">
        <v>61</v>
      </c>
      <c r="G668" t="s">
        <v>32</v>
      </c>
      <c r="H668" t="s">
        <v>33</v>
      </c>
      <c r="I668" t="s">
        <v>72</v>
      </c>
      <c r="J668" t="s">
        <v>68</v>
      </c>
      <c r="K668">
        <v>0</v>
      </c>
      <c r="L668">
        <v>88</v>
      </c>
      <c r="M668" t="s">
        <v>58</v>
      </c>
      <c r="N668" t="s">
        <v>22</v>
      </c>
    </row>
    <row r="669" spans="1:14" x14ac:dyDescent="0.3">
      <c r="A669">
        <v>23029606</v>
      </c>
      <c r="B669" t="s">
        <v>737</v>
      </c>
      <c r="C669" t="s">
        <v>24</v>
      </c>
      <c r="D669" s="1">
        <v>45283</v>
      </c>
      <c r="E669">
        <v>5118</v>
      </c>
      <c r="F669" t="s">
        <v>16</v>
      </c>
      <c r="G669" t="s">
        <v>17</v>
      </c>
      <c r="H669" t="s">
        <v>62</v>
      </c>
      <c r="I669" t="s">
        <v>19</v>
      </c>
      <c r="J669" t="s">
        <v>20</v>
      </c>
      <c r="K669">
        <v>0</v>
      </c>
      <c r="L669">
        <v>40</v>
      </c>
      <c r="M669" t="s">
        <v>58</v>
      </c>
      <c r="N669" t="s">
        <v>87</v>
      </c>
    </row>
    <row r="670" spans="1:14" x14ac:dyDescent="0.3">
      <c r="A670">
        <v>21931541</v>
      </c>
      <c r="B670" t="s">
        <v>738</v>
      </c>
      <c r="C670" t="s">
        <v>75</v>
      </c>
      <c r="D670" s="1">
        <v>45494</v>
      </c>
      <c r="E670">
        <v>11071</v>
      </c>
      <c r="F670" t="s">
        <v>16</v>
      </c>
      <c r="G670" t="s">
        <v>17</v>
      </c>
      <c r="H670" t="s">
        <v>62</v>
      </c>
      <c r="I670" t="s">
        <v>27</v>
      </c>
      <c r="J670" t="s">
        <v>28</v>
      </c>
      <c r="K670">
        <v>1</v>
      </c>
      <c r="L670">
        <v>38</v>
      </c>
      <c r="M670" t="s">
        <v>42</v>
      </c>
      <c r="N670" t="s">
        <v>36</v>
      </c>
    </row>
    <row r="671" spans="1:14" x14ac:dyDescent="0.3">
      <c r="A671">
        <v>25121428</v>
      </c>
      <c r="B671" t="s">
        <v>739</v>
      </c>
      <c r="C671" t="s">
        <v>75</v>
      </c>
      <c r="D671" s="1">
        <v>45608</v>
      </c>
      <c r="E671">
        <v>2688</v>
      </c>
      <c r="F671" t="s">
        <v>16</v>
      </c>
      <c r="G671" t="s">
        <v>32</v>
      </c>
      <c r="H671" t="s">
        <v>103</v>
      </c>
      <c r="I671" t="s">
        <v>27</v>
      </c>
      <c r="J671" t="s">
        <v>85</v>
      </c>
      <c r="K671">
        <v>0</v>
      </c>
      <c r="L671">
        <v>38</v>
      </c>
      <c r="M671" t="s">
        <v>58</v>
      </c>
      <c r="N671" t="s">
        <v>63</v>
      </c>
    </row>
    <row r="672" spans="1:14" x14ac:dyDescent="0.3">
      <c r="A672">
        <v>82732667</v>
      </c>
      <c r="B672" t="s">
        <v>740</v>
      </c>
      <c r="C672" t="s">
        <v>15</v>
      </c>
      <c r="D672" s="1">
        <v>45507</v>
      </c>
      <c r="E672">
        <v>12716</v>
      </c>
      <c r="F672" t="s">
        <v>16</v>
      </c>
      <c r="G672" t="s">
        <v>71</v>
      </c>
      <c r="H672" t="s">
        <v>56</v>
      </c>
      <c r="I672" t="s">
        <v>72</v>
      </c>
      <c r="J672" t="s">
        <v>85</v>
      </c>
      <c r="K672">
        <v>1</v>
      </c>
      <c r="L672">
        <v>77</v>
      </c>
      <c r="M672" t="s">
        <v>42</v>
      </c>
      <c r="N672" t="s">
        <v>87</v>
      </c>
    </row>
    <row r="673" spans="1:14" x14ac:dyDescent="0.3">
      <c r="A673">
        <v>55999497</v>
      </c>
      <c r="B673" t="s">
        <v>741</v>
      </c>
      <c r="C673" t="s">
        <v>54</v>
      </c>
      <c r="D673" s="1">
        <v>45451</v>
      </c>
      <c r="E673">
        <v>7665</v>
      </c>
      <c r="F673" t="s">
        <v>39</v>
      </c>
      <c r="G673" t="s">
        <v>17</v>
      </c>
      <c r="H673" t="s">
        <v>18</v>
      </c>
      <c r="I673" t="s">
        <v>19</v>
      </c>
      <c r="J673" t="s">
        <v>79</v>
      </c>
      <c r="K673">
        <v>0</v>
      </c>
      <c r="L673">
        <v>81</v>
      </c>
      <c r="M673" t="s">
        <v>21</v>
      </c>
      <c r="N673" t="s">
        <v>43</v>
      </c>
    </row>
    <row r="674" spans="1:14" x14ac:dyDescent="0.3">
      <c r="A674">
        <v>97895403</v>
      </c>
      <c r="B674" t="s">
        <v>742</v>
      </c>
      <c r="C674" t="s">
        <v>15</v>
      </c>
      <c r="D674" s="1">
        <v>45495</v>
      </c>
      <c r="E674">
        <v>1443</v>
      </c>
      <c r="F674" t="s">
        <v>39</v>
      </c>
      <c r="G674" t="s">
        <v>55</v>
      </c>
      <c r="H674" t="s">
        <v>40</v>
      </c>
      <c r="I674" t="s">
        <v>34</v>
      </c>
      <c r="J674" t="s">
        <v>79</v>
      </c>
      <c r="K674">
        <v>0</v>
      </c>
      <c r="L674">
        <v>67</v>
      </c>
      <c r="M674" t="s">
        <v>29</v>
      </c>
      <c r="N674" t="s">
        <v>43</v>
      </c>
    </row>
    <row r="675" spans="1:14" x14ac:dyDescent="0.3">
      <c r="A675">
        <v>45688291</v>
      </c>
      <c r="B675" t="s">
        <v>743</v>
      </c>
      <c r="C675" t="s">
        <v>24</v>
      </c>
      <c r="D675" s="1">
        <v>45419</v>
      </c>
      <c r="E675">
        <v>8988</v>
      </c>
      <c r="F675" t="s">
        <v>39</v>
      </c>
      <c r="G675" t="s">
        <v>55</v>
      </c>
      <c r="H675" t="s">
        <v>26</v>
      </c>
      <c r="I675" t="s">
        <v>34</v>
      </c>
      <c r="J675" t="s">
        <v>41</v>
      </c>
      <c r="K675">
        <v>1</v>
      </c>
      <c r="L675">
        <v>50</v>
      </c>
      <c r="M675" t="s">
        <v>42</v>
      </c>
      <c r="N675" t="s">
        <v>48</v>
      </c>
    </row>
    <row r="676" spans="1:14" x14ac:dyDescent="0.3">
      <c r="A676">
        <v>94044978</v>
      </c>
      <c r="B676" t="s">
        <v>744</v>
      </c>
      <c r="C676" t="s">
        <v>54</v>
      </c>
      <c r="D676" s="1">
        <v>45617</v>
      </c>
      <c r="E676">
        <v>15127</v>
      </c>
      <c r="F676" t="s">
        <v>39</v>
      </c>
      <c r="G676" t="s">
        <v>25</v>
      </c>
      <c r="H676" t="s">
        <v>33</v>
      </c>
      <c r="I676" t="s">
        <v>27</v>
      </c>
      <c r="J676" t="s">
        <v>35</v>
      </c>
      <c r="K676">
        <v>0</v>
      </c>
      <c r="L676">
        <v>84</v>
      </c>
      <c r="M676" t="s">
        <v>47</v>
      </c>
      <c r="N676" t="s">
        <v>22</v>
      </c>
    </row>
    <row r="677" spans="1:14" x14ac:dyDescent="0.3">
      <c r="A677">
        <v>42270663</v>
      </c>
      <c r="B677" t="s">
        <v>745</v>
      </c>
      <c r="C677" t="s">
        <v>77</v>
      </c>
      <c r="D677" s="1">
        <v>45574</v>
      </c>
      <c r="E677">
        <v>12347</v>
      </c>
      <c r="F677" t="s">
        <v>50</v>
      </c>
      <c r="G677" t="s">
        <v>32</v>
      </c>
      <c r="H677" t="s">
        <v>56</v>
      </c>
      <c r="I677" t="s">
        <v>72</v>
      </c>
      <c r="J677" t="s">
        <v>35</v>
      </c>
      <c r="K677">
        <v>0</v>
      </c>
      <c r="L677">
        <v>62</v>
      </c>
      <c r="M677" t="s">
        <v>21</v>
      </c>
      <c r="N677" t="s">
        <v>43</v>
      </c>
    </row>
    <row r="678" spans="1:14" x14ac:dyDescent="0.3">
      <c r="A678">
        <v>82776552</v>
      </c>
      <c r="B678" t="s">
        <v>746</v>
      </c>
      <c r="C678" t="s">
        <v>38</v>
      </c>
      <c r="D678" s="1">
        <v>45414</v>
      </c>
      <c r="E678">
        <v>3687</v>
      </c>
      <c r="F678" t="s">
        <v>16</v>
      </c>
      <c r="G678" t="s">
        <v>32</v>
      </c>
      <c r="H678" t="s">
        <v>40</v>
      </c>
      <c r="I678" t="s">
        <v>27</v>
      </c>
      <c r="J678" t="s">
        <v>28</v>
      </c>
      <c r="K678">
        <v>0</v>
      </c>
      <c r="L678">
        <v>38</v>
      </c>
      <c r="M678" t="s">
        <v>58</v>
      </c>
      <c r="N678" t="s">
        <v>63</v>
      </c>
    </row>
    <row r="679" spans="1:14" x14ac:dyDescent="0.3">
      <c r="A679">
        <v>37143730</v>
      </c>
      <c r="B679" t="s">
        <v>747</v>
      </c>
      <c r="C679" t="s">
        <v>101</v>
      </c>
      <c r="D679" s="1">
        <v>45577</v>
      </c>
      <c r="E679">
        <v>8630</v>
      </c>
      <c r="F679" t="s">
        <v>50</v>
      </c>
      <c r="G679" t="s">
        <v>17</v>
      </c>
      <c r="H679" t="s">
        <v>103</v>
      </c>
      <c r="I679" t="s">
        <v>27</v>
      </c>
      <c r="J679" t="s">
        <v>68</v>
      </c>
      <c r="K679">
        <v>0</v>
      </c>
      <c r="L679">
        <v>67</v>
      </c>
      <c r="M679" t="s">
        <v>21</v>
      </c>
      <c r="N679" t="s">
        <v>22</v>
      </c>
    </row>
    <row r="680" spans="1:14" x14ac:dyDescent="0.3">
      <c r="A680">
        <v>49453836</v>
      </c>
      <c r="B680" t="s">
        <v>748</v>
      </c>
      <c r="C680" t="s">
        <v>38</v>
      </c>
      <c r="D680" s="1">
        <v>45424</v>
      </c>
      <c r="E680">
        <v>4189</v>
      </c>
      <c r="F680" t="s">
        <v>39</v>
      </c>
      <c r="G680" t="s">
        <v>55</v>
      </c>
      <c r="H680" t="s">
        <v>18</v>
      </c>
      <c r="I680" t="s">
        <v>72</v>
      </c>
      <c r="J680" t="s">
        <v>57</v>
      </c>
      <c r="K680">
        <v>0</v>
      </c>
      <c r="L680">
        <v>72</v>
      </c>
      <c r="M680" t="s">
        <v>58</v>
      </c>
      <c r="N680" t="s">
        <v>36</v>
      </c>
    </row>
    <row r="681" spans="1:14" x14ac:dyDescent="0.3">
      <c r="A681">
        <v>85529393</v>
      </c>
      <c r="B681" t="s">
        <v>749</v>
      </c>
      <c r="C681" t="s">
        <v>54</v>
      </c>
      <c r="D681" s="1">
        <v>45295</v>
      </c>
      <c r="E681">
        <v>15627</v>
      </c>
      <c r="F681" t="s">
        <v>16</v>
      </c>
      <c r="G681" t="s">
        <v>32</v>
      </c>
      <c r="H681" t="s">
        <v>56</v>
      </c>
      <c r="I681" t="s">
        <v>19</v>
      </c>
      <c r="J681" t="s">
        <v>41</v>
      </c>
      <c r="K681">
        <v>0</v>
      </c>
      <c r="L681">
        <v>14</v>
      </c>
      <c r="M681" t="s">
        <v>42</v>
      </c>
      <c r="N681" t="s">
        <v>46</v>
      </c>
    </row>
    <row r="682" spans="1:14" x14ac:dyDescent="0.3">
      <c r="A682">
        <v>60347967</v>
      </c>
      <c r="B682" t="s">
        <v>750</v>
      </c>
      <c r="C682" t="s">
        <v>31</v>
      </c>
      <c r="D682" s="1">
        <v>45635</v>
      </c>
      <c r="E682">
        <v>18894</v>
      </c>
      <c r="F682" t="s">
        <v>39</v>
      </c>
      <c r="G682" t="s">
        <v>25</v>
      </c>
      <c r="H682" t="s">
        <v>56</v>
      </c>
      <c r="I682" t="s">
        <v>72</v>
      </c>
      <c r="J682" t="s">
        <v>41</v>
      </c>
      <c r="K682">
        <v>0</v>
      </c>
      <c r="L682">
        <v>48</v>
      </c>
      <c r="M682" t="s">
        <v>58</v>
      </c>
      <c r="N682" t="s">
        <v>59</v>
      </c>
    </row>
    <row r="683" spans="1:14" x14ac:dyDescent="0.3">
      <c r="A683">
        <v>54850380</v>
      </c>
      <c r="B683" t="s">
        <v>751</v>
      </c>
      <c r="C683" t="s">
        <v>45</v>
      </c>
      <c r="D683" s="1">
        <v>45484</v>
      </c>
      <c r="E683">
        <v>12678</v>
      </c>
      <c r="F683" t="s">
        <v>39</v>
      </c>
      <c r="G683" t="s">
        <v>55</v>
      </c>
      <c r="H683" t="s">
        <v>51</v>
      </c>
      <c r="I683" t="s">
        <v>19</v>
      </c>
      <c r="J683" t="s">
        <v>41</v>
      </c>
      <c r="K683">
        <v>0</v>
      </c>
      <c r="L683">
        <v>94</v>
      </c>
      <c r="M683" t="s">
        <v>58</v>
      </c>
      <c r="N683" t="s">
        <v>36</v>
      </c>
    </row>
    <row r="684" spans="1:14" x14ac:dyDescent="0.3">
      <c r="A684">
        <v>37714624</v>
      </c>
      <c r="B684" t="s">
        <v>752</v>
      </c>
      <c r="C684" t="s">
        <v>70</v>
      </c>
      <c r="D684" s="1">
        <v>45418</v>
      </c>
      <c r="E684">
        <v>14058</v>
      </c>
      <c r="F684" t="s">
        <v>39</v>
      </c>
      <c r="G684" t="s">
        <v>71</v>
      </c>
      <c r="H684" t="s">
        <v>103</v>
      </c>
      <c r="I684" t="s">
        <v>27</v>
      </c>
      <c r="J684" t="s">
        <v>79</v>
      </c>
      <c r="K684">
        <v>0</v>
      </c>
      <c r="L684">
        <v>27</v>
      </c>
      <c r="M684" t="s">
        <v>42</v>
      </c>
      <c r="N684" t="s">
        <v>46</v>
      </c>
    </row>
    <row r="685" spans="1:14" x14ac:dyDescent="0.3">
      <c r="A685">
        <v>42833819</v>
      </c>
      <c r="B685" t="s">
        <v>753</v>
      </c>
      <c r="C685" t="s">
        <v>70</v>
      </c>
      <c r="D685" s="1">
        <v>45413</v>
      </c>
      <c r="E685">
        <v>21611</v>
      </c>
      <c r="F685" t="s">
        <v>39</v>
      </c>
      <c r="G685" t="s">
        <v>32</v>
      </c>
      <c r="H685" t="s">
        <v>56</v>
      </c>
      <c r="I685" t="s">
        <v>27</v>
      </c>
      <c r="J685" t="s">
        <v>79</v>
      </c>
      <c r="K685">
        <v>0</v>
      </c>
      <c r="L685">
        <v>46</v>
      </c>
      <c r="M685" t="s">
        <v>21</v>
      </c>
      <c r="N685" t="s">
        <v>73</v>
      </c>
    </row>
    <row r="686" spans="1:14" x14ac:dyDescent="0.3">
      <c r="A686">
        <v>91894939</v>
      </c>
      <c r="B686" t="s">
        <v>754</v>
      </c>
      <c r="C686" t="s">
        <v>24</v>
      </c>
      <c r="D686" s="1">
        <v>45356</v>
      </c>
      <c r="E686">
        <v>12172</v>
      </c>
      <c r="F686" t="s">
        <v>39</v>
      </c>
      <c r="G686" t="s">
        <v>32</v>
      </c>
      <c r="H686" t="s">
        <v>26</v>
      </c>
      <c r="I686" t="s">
        <v>72</v>
      </c>
      <c r="J686" t="s">
        <v>41</v>
      </c>
      <c r="K686">
        <v>0</v>
      </c>
      <c r="L686">
        <v>80</v>
      </c>
      <c r="M686" t="s">
        <v>42</v>
      </c>
      <c r="N686" t="s">
        <v>89</v>
      </c>
    </row>
    <row r="687" spans="1:14" x14ac:dyDescent="0.3">
      <c r="A687">
        <v>55664325</v>
      </c>
      <c r="B687" t="s">
        <v>755</v>
      </c>
      <c r="C687" t="s">
        <v>101</v>
      </c>
      <c r="D687" s="1">
        <v>45610</v>
      </c>
      <c r="E687">
        <v>9632</v>
      </c>
      <c r="F687" t="s">
        <v>39</v>
      </c>
      <c r="G687" t="s">
        <v>17</v>
      </c>
      <c r="H687" t="s">
        <v>18</v>
      </c>
      <c r="I687" t="s">
        <v>72</v>
      </c>
      <c r="J687" t="s">
        <v>68</v>
      </c>
      <c r="K687">
        <v>0</v>
      </c>
      <c r="L687">
        <v>50</v>
      </c>
      <c r="M687" t="s">
        <v>29</v>
      </c>
      <c r="N687" t="s">
        <v>43</v>
      </c>
    </row>
    <row r="688" spans="1:14" x14ac:dyDescent="0.3">
      <c r="A688">
        <v>13429528</v>
      </c>
      <c r="B688" t="s">
        <v>756</v>
      </c>
      <c r="C688" t="s">
        <v>31</v>
      </c>
      <c r="D688" s="1">
        <v>45494</v>
      </c>
      <c r="E688">
        <v>4977</v>
      </c>
      <c r="F688" t="s">
        <v>61</v>
      </c>
      <c r="G688" t="s">
        <v>25</v>
      </c>
      <c r="H688" t="s">
        <v>56</v>
      </c>
      <c r="I688" t="s">
        <v>72</v>
      </c>
      <c r="J688" t="s">
        <v>68</v>
      </c>
      <c r="K688">
        <v>0</v>
      </c>
      <c r="L688">
        <v>51</v>
      </c>
      <c r="M688" t="s">
        <v>29</v>
      </c>
      <c r="N688" t="s">
        <v>59</v>
      </c>
    </row>
    <row r="689" spans="1:14" x14ac:dyDescent="0.3">
      <c r="A689">
        <v>61034288</v>
      </c>
      <c r="B689" t="s">
        <v>757</v>
      </c>
      <c r="C689" t="s">
        <v>101</v>
      </c>
      <c r="D689" s="1">
        <v>45321</v>
      </c>
      <c r="E689">
        <v>5424</v>
      </c>
      <c r="F689" t="s">
        <v>16</v>
      </c>
      <c r="G689" t="s">
        <v>55</v>
      </c>
      <c r="H689" t="s">
        <v>56</v>
      </c>
      <c r="I689" t="s">
        <v>19</v>
      </c>
      <c r="J689" t="s">
        <v>28</v>
      </c>
      <c r="K689">
        <v>0</v>
      </c>
      <c r="L689">
        <v>65</v>
      </c>
      <c r="M689" t="s">
        <v>58</v>
      </c>
      <c r="N689" t="s">
        <v>59</v>
      </c>
    </row>
    <row r="690" spans="1:14" x14ac:dyDescent="0.3">
      <c r="A690">
        <v>95952347</v>
      </c>
      <c r="B690" t="s">
        <v>758</v>
      </c>
      <c r="C690" t="s">
        <v>24</v>
      </c>
      <c r="D690" s="1">
        <v>45283</v>
      </c>
      <c r="E690">
        <v>11341</v>
      </c>
      <c r="F690" t="s">
        <v>50</v>
      </c>
      <c r="G690" t="s">
        <v>71</v>
      </c>
      <c r="H690" t="s">
        <v>18</v>
      </c>
      <c r="I690" t="s">
        <v>19</v>
      </c>
      <c r="J690" t="s">
        <v>85</v>
      </c>
      <c r="K690">
        <v>0</v>
      </c>
      <c r="L690">
        <v>68</v>
      </c>
      <c r="M690" t="s">
        <v>47</v>
      </c>
      <c r="N690" t="s">
        <v>43</v>
      </c>
    </row>
    <row r="691" spans="1:14" x14ac:dyDescent="0.3">
      <c r="A691">
        <v>96130987</v>
      </c>
      <c r="B691" t="s">
        <v>759</v>
      </c>
      <c r="C691" t="s">
        <v>101</v>
      </c>
      <c r="D691" s="1">
        <v>45400</v>
      </c>
      <c r="E691">
        <v>12548</v>
      </c>
      <c r="F691" t="s">
        <v>16</v>
      </c>
      <c r="G691" t="s">
        <v>17</v>
      </c>
      <c r="H691" t="s">
        <v>103</v>
      </c>
      <c r="I691" t="s">
        <v>72</v>
      </c>
      <c r="J691" t="s">
        <v>28</v>
      </c>
      <c r="K691">
        <v>0</v>
      </c>
      <c r="L691">
        <v>63</v>
      </c>
      <c r="M691" t="s">
        <v>21</v>
      </c>
      <c r="N691" t="s">
        <v>59</v>
      </c>
    </row>
    <row r="692" spans="1:14" x14ac:dyDescent="0.3">
      <c r="A692">
        <v>80845248</v>
      </c>
      <c r="B692" t="s">
        <v>760</v>
      </c>
      <c r="C692" t="s">
        <v>15</v>
      </c>
      <c r="D692" s="1">
        <v>45590</v>
      </c>
      <c r="E692">
        <v>4615</v>
      </c>
      <c r="F692" t="s">
        <v>39</v>
      </c>
      <c r="G692" t="s">
        <v>25</v>
      </c>
      <c r="H692" t="s">
        <v>40</v>
      </c>
      <c r="I692" t="s">
        <v>27</v>
      </c>
      <c r="J692" t="s">
        <v>35</v>
      </c>
      <c r="K692">
        <v>0</v>
      </c>
      <c r="L692">
        <v>95</v>
      </c>
      <c r="M692" t="s">
        <v>65</v>
      </c>
      <c r="N692" t="s">
        <v>43</v>
      </c>
    </row>
    <row r="693" spans="1:14" x14ac:dyDescent="0.3">
      <c r="A693">
        <v>90217396</v>
      </c>
      <c r="B693" t="s">
        <v>761</v>
      </c>
      <c r="C693" t="s">
        <v>15</v>
      </c>
      <c r="D693" s="1">
        <v>45629</v>
      </c>
      <c r="E693">
        <v>20294</v>
      </c>
      <c r="F693" t="s">
        <v>61</v>
      </c>
      <c r="G693" t="s">
        <v>32</v>
      </c>
      <c r="H693" t="s">
        <v>81</v>
      </c>
      <c r="I693" t="s">
        <v>34</v>
      </c>
      <c r="J693" t="s">
        <v>28</v>
      </c>
      <c r="K693">
        <v>0</v>
      </c>
      <c r="L693">
        <v>56</v>
      </c>
      <c r="M693" t="s">
        <v>58</v>
      </c>
      <c r="N693" t="s">
        <v>87</v>
      </c>
    </row>
    <row r="694" spans="1:14" x14ac:dyDescent="0.3">
      <c r="A694">
        <v>39514509</v>
      </c>
      <c r="B694" t="s">
        <v>762</v>
      </c>
      <c r="C694" t="s">
        <v>24</v>
      </c>
      <c r="D694" s="1">
        <v>45350</v>
      </c>
      <c r="E694">
        <v>24003</v>
      </c>
      <c r="F694" t="s">
        <v>39</v>
      </c>
      <c r="G694" t="s">
        <v>71</v>
      </c>
      <c r="H694" t="s">
        <v>46</v>
      </c>
      <c r="I694" t="s">
        <v>34</v>
      </c>
      <c r="J694" t="s">
        <v>28</v>
      </c>
      <c r="K694">
        <v>0</v>
      </c>
      <c r="L694">
        <v>27</v>
      </c>
      <c r="M694" t="s">
        <v>42</v>
      </c>
      <c r="N694" t="s">
        <v>63</v>
      </c>
    </row>
    <row r="695" spans="1:14" x14ac:dyDescent="0.3">
      <c r="A695">
        <v>27297762</v>
      </c>
      <c r="B695" t="s">
        <v>763</v>
      </c>
      <c r="C695" t="s">
        <v>54</v>
      </c>
      <c r="D695" s="1">
        <v>45443</v>
      </c>
      <c r="E695">
        <v>6040</v>
      </c>
      <c r="F695" t="s">
        <v>16</v>
      </c>
      <c r="G695" t="s">
        <v>17</v>
      </c>
      <c r="H695" t="s">
        <v>51</v>
      </c>
      <c r="I695" t="s">
        <v>34</v>
      </c>
      <c r="J695" t="s">
        <v>85</v>
      </c>
      <c r="K695">
        <v>0</v>
      </c>
      <c r="L695">
        <v>12</v>
      </c>
      <c r="M695" t="s">
        <v>29</v>
      </c>
      <c r="N695" t="s">
        <v>87</v>
      </c>
    </row>
    <row r="696" spans="1:14" x14ac:dyDescent="0.3">
      <c r="A696">
        <v>20703189</v>
      </c>
      <c r="B696" t="s">
        <v>764</v>
      </c>
      <c r="C696" t="s">
        <v>45</v>
      </c>
      <c r="D696" s="1">
        <v>45418</v>
      </c>
      <c r="E696">
        <v>12396</v>
      </c>
      <c r="F696" t="s">
        <v>39</v>
      </c>
      <c r="G696" t="s">
        <v>32</v>
      </c>
      <c r="H696" t="s">
        <v>81</v>
      </c>
      <c r="I696" t="s">
        <v>34</v>
      </c>
      <c r="J696" t="s">
        <v>68</v>
      </c>
      <c r="K696">
        <v>0</v>
      </c>
      <c r="L696">
        <v>78</v>
      </c>
      <c r="M696" t="s">
        <v>29</v>
      </c>
      <c r="N696" t="s">
        <v>63</v>
      </c>
    </row>
    <row r="697" spans="1:14" x14ac:dyDescent="0.3">
      <c r="A697">
        <v>53773966</v>
      </c>
      <c r="B697" t="s">
        <v>765</v>
      </c>
      <c r="C697" t="s">
        <v>101</v>
      </c>
      <c r="D697" s="1">
        <v>45363</v>
      </c>
      <c r="E697">
        <v>23363</v>
      </c>
      <c r="F697" t="s">
        <v>39</v>
      </c>
      <c r="G697" t="s">
        <v>25</v>
      </c>
      <c r="H697" t="s">
        <v>26</v>
      </c>
      <c r="I697" t="s">
        <v>27</v>
      </c>
      <c r="J697" t="s">
        <v>79</v>
      </c>
      <c r="K697">
        <v>0</v>
      </c>
      <c r="L697">
        <v>64</v>
      </c>
      <c r="M697" t="s">
        <v>65</v>
      </c>
      <c r="N697" t="s">
        <v>87</v>
      </c>
    </row>
    <row r="698" spans="1:14" x14ac:dyDescent="0.3">
      <c r="A698">
        <v>76290015</v>
      </c>
      <c r="B698" t="s">
        <v>766</v>
      </c>
      <c r="C698" t="s">
        <v>38</v>
      </c>
      <c r="D698" s="1">
        <v>45527</v>
      </c>
      <c r="E698">
        <v>15839</v>
      </c>
      <c r="F698" t="s">
        <v>16</v>
      </c>
      <c r="G698" t="s">
        <v>71</v>
      </c>
      <c r="H698" t="s">
        <v>51</v>
      </c>
      <c r="I698" t="s">
        <v>72</v>
      </c>
      <c r="J698" t="s">
        <v>35</v>
      </c>
      <c r="K698">
        <v>0</v>
      </c>
      <c r="L698">
        <v>38</v>
      </c>
      <c r="M698" t="s">
        <v>42</v>
      </c>
      <c r="N698" t="s">
        <v>22</v>
      </c>
    </row>
    <row r="699" spans="1:14" x14ac:dyDescent="0.3">
      <c r="A699">
        <v>70320729</v>
      </c>
      <c r="B699" t="s">
        <v>767</v>
      </c>
      <c r="C699" t="s">
        <v>101</v>
      </c>
      <c r="D699" s="1">
        <v>45507</v>
      </c>
      <c r="E699">
        <v>18440</v>
      </c>
      <c r="F699" t="s">
        <v>39</v>
      </c>
      <c r="G699" t="s">
        <v>32</v>
      </c>
      <c r="H699" t="s">
        <v>33</v>
      </c>
      <c r="I699" t="s">
        <v>72</v>
      </c>
      <c r="J699" t="s">
        <v>35</v>
      </c>
      <c r="K699">
        <v>0</v>
      </c>
      <c r="L699">
        <v>43</v>
      </c>
      <c r="M699" t="s">
        <v>29</v>
      </c>
      <c r="N699" t="s">
        <v>48</v>
      </c>
    </row>
    <row r="700" spans="1:14" x14ac:dyDescent="0.3">
      <c r="A700">
        <v>58447473</v>
      </c>
      <c r="B700" t="s">
        <v>768</v>
      </c>
      <c r="C700" t="s">
        <v>15</v>
      </c>
      <c r="D700" s="1">
        <v>45601</v>
      </c>
      <c r="E700">
        <v>11037</v>
      </c>
      <c r="F700" t="s">
        <v>39</v>
      </c>
      <c r="G700" t="s">
        <v>25</v>
      </c>
      <c r="H700" t="s">
        <v>33</v>
      </c>
      <c r="I700" t="s">
        <v>19</v>
      </c>
      <c r="J700" t="s">
        <v>52</v>
      </c>
      <c r="K700">
        <v>1</v>
      </c>
      <c r="L700">
        <v>27</v>
      </c>
      <c r="M700" t="s">
        <v>29</v>
      </c>
      <c r="N700" t="s">
        <v>22</v>
      </c>
    </row>
    <row r="701" spans="1:14" x14ac:dyDescent="0.3">
      <c r="A701">
        <v>49770596</v>
      </c>
      <c r="B701" t="s">
        <v>769</v>
      </c>
      <c r="C701" t="s">
        <v>45</v>
      </c>
      <c r="D701" s="1">
        <v>45494</v>
      </c>
      <c r="E701">
        <v>23940</v>
      </c>
      <c r="F701" t="s">
        <v>39</v>
      </c>
      <c r="G701" t="s">
        <v>17</v>
      </c>
      <c r="H701" t="s">
        <v>103</v>
      </c>
      <c r="I701" t="s">
        <v>19</v>
      </c>
      <c r="J701" t="s">
        <v>28</v>
      </c>
      <c r="K701">
        <v>0</v>
      </c>
      <c r="L701">
        <v>11</v>
      </c>
      <c r="M701" t="s">
        <v>58</v>
      </c>
      <c r="N701" t="s">
        <v>73</v>
      </c>
    </row>
    <row r="702" spans="1:14" x14ac:dyDescent="0.3">
      <c r="A702">
        <v>34900433</v>
      </c>
      <c r="B702" t="s">
        <v>770</v>
      </c>
      <c r="C702" t="s">
        <v>31</v>
      </c>
      <c r="D702" s="1">
        <v>45316</v>
      </c>
      <c r="E702">
        <v>2191</v>
      </c>
      <c r="F702" t="s">
        <v>39</v>
      </c>
      <c r="G702" t="s">
        <v>55</v>
      </c>
      <c r="H702" t="s">
        <v>103</v>
      </c>
      <c r="I702" t="s">
        <v>34</v>
      </c>
      <c r="J702" t="s">
        <v>35</v>
      </c>
      <c r="K702">
        <v>1</v>
      </c>
      <c r="L702">
        <v>19</v>
      </c>
      <c r="M702" t="s">
        <v>65</v>
      </c>
      <c r="N702" t="s">
        <v>63</v>
      </c>
    </row>
    <row r="703" spans="1:14" x14ac:dyDescent="0.3">
      <c r="A703">
        <v>77585141</v>
      </c>
      <c r="B703" t="s">
        <v>771</v>
      </c>
      <c r="C703" t="s">
        <v>54</v>
      </c>
      <c r="D703" s="1">
        <v>45470</v>
      </c>
      <c r="E703">
        <v>18228</v>
      </c>
      <c r="F703" t="s">
        <v>39</v>
      </c>
      <c r="G703" t="s">
        <v>17</v>
      </c>
      <c r="H703" t="s">
        <v>81</v>
      </c>
      <c r="I703" t="s">
        <v>34</v>
      </c>
      <c r="J703" t="s">
        <v>79</v>
      </c>
      <c r="K703">
        <v>1</v>
      </c>
      <c r="L703">
        <v>33</v>
      </c>
      <c r="M703" t="s">
        <v>42</v>
      </c>
      <c r="N703" t="s">
        <v>43</v>
      </c>
    </row>
    <row r="704" spans="1:14" x14ac:dyDescent="0.3">
      <c r="A704">
        <v>74721679</v>
      </c>
      <c r="B704" t="s">
        <v>772</v>
      </c>
      <c r="C704" t="s">
        <v>75</v>
      </c>
      <c r="D704" s="1">
        <v>45537</v>
      </c>
      <c r="E704">
        <v>16523</v>
      </c>
      <c r="F704" t="s">
        <v>39</v>
      </c>
      <c r="G704" t="s">
        <v>32</v>
      </c>
      <c r="H704" t="s">
        <v>62</v>
      </c>
      <c r="I704" t="s">
        <v>72</v>
      </c>
      <c r="J704" t="s">
        <v>41</v>
      </c>
      <c r="K704">
        <v>1</v>
      </c>
      <c r="L704">
        <v>68</v>
      </c>
      <c r="M704" t="s">
        <v>58</v>
      </c>
      <c r="N704" t="s">
        <v>22</v>
      </c>
    </row>
    <row r="705" spans="1:14" x14ac:dyDescent="0.3">
      <c r="A705">
        <v>28022398</v>
      </c>
      <c r="B705" t="s">
        <v>773</v>
      </c>
      <c r="C705" t="s">
        <v>77</v>
      </c>
      <c r="D705" s="1">
        <v>45370</v>
      </c>
      <c r="E705">
        <v>8796</v>
      </c>
      <c r="F705" t="s">
        <v>39</v>
      </c>
      <c r="G705" t="s">
        <v>17</v>
      </c>
      <c r="H705" t="s">
        <v>51</v>
      </c>
      <c r="I705" t="s">
        <v>72</v>
      </c>
      <c r="J705" t="s">
        <v>57</v>
      </c>
      <c r="K705">
        <v>0</v>
      </c>
      <c r="L705">
        <v>49</v>
      </c>
      <c r="M705" t="s">
        <v>29</v>
      </c>
      <c r="N705" t="s">
        <v>43</v>
      </c>
    </row>
    <row r="706" spans="1:14" x14ac:dyDescent="0.3">
      <c r="A706">
        <v>66483634</v>
      </c>
      <c r="B706" t="s">
        <v>774</v>
      </c>
      <c r="C706" t="s">
        <v>38</v>
      </c>
      <c r="D706" s="1">
        <v>45357</v>
      </c>
      <c r="E706">
        <v>12223</v>
      </c>
      <c r="F706" t="s">
        <v>16</v>
      </c>
      <c r="G706" t="s">
        <v>71</v>
      </c>
      <c r="H706" t="s">
        <v>46</v>
      </c>
      <c r="I706" t="s">
        <v>19</v>
      </c>
      <c r="J706" t="s">
        <v>57</v>
      </c>
      <c r="K706">
        <v>0</v>
      </c>
      <c r="L706">
        <v>80</v>
      </c>
      <c r="M706" t="s">
        <v>58</v>
      </c>
      <c r="N706" t="s">
        <v>46</v>
      </c>
    </row>
    <row r="707" spans="1:14" x14ac:dyDescent="0.3">
      <c r="A707">
        <v>98531924</v>
      </c>
      <c r="B707" t="s">
        <v>775</v>
      </c>
      <c r="C707" t="s">
        <v>54</v>
      </c>
      <c r="D707" s="1">
        <v>45386</v>
      </c>
      <c r="E707">
        <v>897</v>
      </c>
      <c r="F707" t="s">
        <v>39</v>
      </c>
      <c r="G707" t="s">
        <v>17</v>
      </c>
      <c r="H707" t="s">
        <v>18</v>
      </c>
      <c r="I707" t="s">
        <v>72</v>
      </c>
      <c r="J707" t="s">
        <v>57</v>
      </c>
      <c r="K707">
        <v>1</v>
      </c>
      <c r="L707">
        <v>45</v>
      </c>
      <c r="M707" t="s">
        <v>58</v>
      </c>
      <c r="N707" t="s">
        <v>48</v>
      </c>
    </row>
    <row r="708" spans="1:14" x14ac:dyDescent="0.3">
      <c r="A708">
        <v>12739734</v>
      </c>
      <c r="B708" t="s">
        <v>776</v>
      </c>
      <c r="C708" t="s">
        <v>54</v>
      </c>
      <c r="D708" s="1">
        <v>45445</v>
      </c>
      <c r="E708">
        <v>11174</v>
      </c>
      <c r="F708" t="s">
        <v>16</v>
      </c>
      <c r="G708" t="s">
        <v>71</v>
      </c>
      <c r="H708" t="s">
        <v>18</v>
      </c>
      <c r="I708" t="s">
        <v>34</v>
      </c>
      <c r="J708" t="s">
        <v>28</v>
      </c>
      <c r="K708">
        <v>1</v>
      </c>
      <c r="L708">
        <v>53</v>
      </c>
      <c r="M708" t="s">
        <v>47</v>
      </c>
      <c r="N708" t="s">
        <v>87</v>
      </c>
    </row>
    <row r="709" spans="1:14" x14ac:dyDescent="0.3">
      <c r="A709">
        <v>57329983</v>
      </c>
      <c r="B709" t="s">
        <v>777</v>
      </c>
      <c r="C709" t="s">
        <v>31</v>
      </c>
      <c r="D709" s="1">
        <v>45370</v>
      </c>
      <c r="E709">
        <v>9368</v>
      </c>
      <c r="F709" t="s">
        <v>16</v>
      </c>
      <c r="G709" t="s">
        <v>71</v>
      </c>
      <c r="H709" t="s">
        <v>81</v>
      </c>
      <c r="I709" t="s">
        <v>19</v>
      </c>
      <c r="J709" t="s">
        <v>35</v>
      </c>
      <c r="K709">
        <v>0</v>
      </c>
      <c r="L709">
        <v>91</v>
      </c>
      <c r="M709" t="s">
        <v>58</v>
      </c>
      <c r="N709" t="s">
        <v>22</v>
      </c>
    </row>
    <row r="710" spans="1:14" x14ac:dyDescent="0.3">
      <c r="A710">
        <v>12116972</v>
      </c>
      <c r="B710" t="s">
        <v>778</v>
      </c>
      <c r="C710" t="s">
        <v>101</v>
      </c>
      <c r="D710" s="1">
        <v>45613</v>
      </c>
      <c r="E710">
        <v>20144</v>
      </c>
      <c r="F710" t="s">
        <v>39</v>
      </c>
      <c r="G710" t="s">
        <v>25</v>
      </c>
      <c r="H710" t="s">
        <v>81</v>
      </c>
      <c r="I710" t="s">
        <v>19</v>
      </c>
      <c r="J710" t="s">
        <v>20</v>
      </c>
      <c r="K710">
        <v>0</v>
      </c>
      <c r="L710">
        <v>51</v>
      </c>
      <c r="M710" t="s">
        <v>58</v>
      </c>
      <c r="N710" t="s">
        <v>48</v>
      </c>
    </row>
    <row r="711" spans="1:14" x14ac:dyDescent="0.3">
      <c r="A711">
        <v>98290929</v>
      </c>
      <c r="B711" t="s">
        <v>779</v>
      </c>
      <c r="C711" t="s">
        <v>77</v>
      </c>
      <c r="D711" s="1">
        <v>45641</v>
      </c>
      <c r="E711">
        <v>10527</v>
      </c>
      <c r="F711" t="s">
        <v>39</v>
      </c>
      <c r="G711" t="s">
        <v>55</v>
      </c>
      <c r="H711" t="s">
        <v>103</v>
      </c>
      <c r="I711" t="s">
        <v>72</v>
      </c>
      <c r="J711" t="s">
        <v>41</v>
      </c>
      <c r="K711">
        <v>0</v>
      </c>
      <c r="L711">
        <v>78</v>
      </c>
      <c r="M711" t="s">
        <v>65</v>
      </c>
      <c r="N711" t="s">
        <v>36</v>
      </c>
    </row>
    <row r="712" spans="1:14" x14ac:dyDescent="0.3">
      <c r="A712">
        <v>10116275</v>
      </c>
      <c r="B712" t="s">
        <v>780</v>
      </c>
      <c r="C712" t="s">
        <v>15</v>
      </c>
      <c r="D712" s="1">
        <v>45475</v>
      </c>
      <c r="E712">
        <v>23844</v>
      </c>
      <c r="F712" t="s">
        <v>39</v>
      </c>
      <c r="G712" t="s">
        <v>17</v>
      </c>
      <c r="H712" t="s">
        <v>56</v>
      </c>
      <c r="I712" t="s">
        <v>19</v>
      </c>
      <c r="J712" t="s">
        <v>68</v>
      </c>
      <c r="K712">
        <v>0</v>
      </c>
      <c r="L712">
        <v>72</v>
      </c>
      <c r="M712" t="s">
        <v>42</v>
      </c>
      <c r="N712" t="s">
        <v>73</v>
      </c>
    </row>
    <row r="713" spans="1:14" x14ac:dyDescent="0.3">
      <c r="A713">
        <v>56529466</v>
      </c>
      <c r="B713" t="s">
        <v>781</v>
      </c>
      <c r="C713" t="s">
        <v>38</v>
      </c>
      <c r="D713" s="1">
        <v>45451</v>
      </c>
      <c r="E713">
        <v>12457</v>
      </c>
      <c r="F713" t="s">
        <v>50</v>
      </c>
      <c r="G713" t="s">
        <v>55</v>
      </c>
      <c r="H713" t="s">
        <v>18</v>
      </c>
      <c r="I713" t="s">
        <v>72</v>
      </c>
      <c r="J713" t="s">
        <v>28</v>
      </c>
      <c r="K713">
        <v>1</v>
      </c>
      <c r="L713">
        <v>19</v>
      </c>
      <c r="M713" t="s">
        <v>42</v>
      </c>
      <c r="N713" t="s">
        <v>22</v>
      </c>
    </row>
    <row r="714" spans="1:14" x14ac:dyDescent="0.3">
      <c r="A714">
        <v>52003766</v>
      </c>
      <c r="B714" t="s">
        <v>782</v>
      </c>
      <c r="C714" t="s">
        <v>38</v>
      </c>
      <c r="D714" s="1">
        <v>45338</v>
      </c>
      <c r="E714">
        <v>21940</v>
      </c>
      <c r="F714" t="s">
        <v>39</v>
      </c>
      <c r="G714" t="s">
        <v>32</v>
      </c>
      <c r="H714" t="s">
        <v>33</v>
      </c>
      <c r="I714" t="s">
        <v>72</v>
      </c>
      <c r="J714" t="s">
        <v>68</v>
      </c>
      <c r="K714">
        <v>0</v>
      </c>
      <c r="L714">
        <v>33</v>
      </c>
      <c r="M714" t="s">
        <v>65</v>
      </c>
      <c r="N714" t="s">
        <v>22</v>
      </c>
    </row>
    <row r="715" spans="1:14" x14ac:dyDescent="0.3">
      <c r="A715">
        <v>93058559</v>
      </c>
      <c r="B715" t="s">
        <v>783</v>
      </c>
      <c r="C715" t="s">
        <v>77</v>
      </c>
      <c r="D715" s="1">
        <v>45512</v>
      </c>
      <c r="E715">
        <v>17528</v>
      </c>
      <c r="F715" t="s">
        <v>16</v>
      </c>
      <c r="G715" t="s">
        <v>55</v>
      </c>
      <c r="H715" t="s">
        <v>26</v>
      </c>
      <c r="I715" t="s">
        <v>27</v>
      </c>
      <c r="J715" t="s">
        <v>79</v>
      </c>
      <c r="K715">
        <v>0</v>
      </c>
      <c r="L715">
        <v>82</v>
      </c>
      <c r="M715" t="s">
        <v>47</v>
      </c>
      <c r="N715" t="s">
        <v>48</v>
      </c>
    </row>
    <row r="716" spans="1:14" x14ac:dyDescent="0.3">
      <c r="A716">
        <v>93001468</v>
      </c>
      <c r="B716" t="s">
        <v>784</v>
      </c>
      <c r="C716" t="s">
        <v>77</v>
      </c>
      <c r="D716" s="1">
        <v>45392</v>
      </c>
      <c r="E716">
        <v>16176</v>
      </c>
      <c r="F716" t="s">
        <v>50</v>
      </c>
      <c r="G716" t="s">
        <v>17</v>
      </c>
      <c r="H716" t="s">
        <v>62</v>
      </c>
      <c r="I716" t="s">
        <v>19</v>
      </c>
      <c r="J716" t="s">
        <v>41</v>
      </c>
      <c r="K716">
        <v>0</v>
      </c>
      <c r="L716">
        <v>22</v>
      </c>
      <c r="M716" t="s">
        <v>65</v>
      </c>
      <c r="N716" t="s">
        <v>87</v>
      </c>
    </row>
    <row r="717" spans="1:14" x14ac:dyDescent="0.3">
      <c r="A717">
        <v>60226113</v>
      </c>
      <c r="B717" t="s">
        <v>785</v>
      </c>
      <c r="C717" t="s">
        <v>24</v>
      </c>
      <c r="D717" s="1">
        <v>45546</v>
      </c>
      <c r="E717">
        <v>1880</v>
      </c>
      <c r="F717" t="s">
        <v>39</v>
      </c>
      <c r="G717" t="s">
        <v>71</v>
      </c>
      <c r="H717" t="s">
        <v>51</v>
      </c>
      <c r="I717" t="s">
        <v>34</v>
      </c>
      <c r="J717" t="s">
        <v>28</v>
      </c>
      <c r="K717">
        <v>1</v>
      </c>
      <c r="L717">
        <v>37</v>
      </c>
      <c r="M717" t="s">
        <v>47</v>
      </c>
      <c r="N717" t="s">
        <v>63</v>
      </c>
    </row>
    <row r="718" spans="1:14" x14ac:dyDescent="0.3">
      <c r="A718">
        <v>81450681</v>
      </c>
      <c r="B718" t="s">
        <v>786</v>
      </c>
      <c r="C718" t="s">
        <v>31</v>
      </c>
      <c r="D718" s="1">
        <v>45403</v>
      </c>
      <c r="E718">
        <v>14363</v>
      </c>
      <c r="F718" t="s">
        <v>39</v>
      </c>
      <c r="G718" t="s">
        <v>17</v>
      </c>
      <c r="H718" t="s">
        <v>62</v>
      </c>
      <c r="I718" t="s">
        <v>27</v>
      </c>
      <c r="J718" t="s">
        <v>41</v>
      </c>
      <c r="K718">
        <v>0</v>
      </c>
      <c r="L718">
        <v>39</v>
      </c>
      <c r="M718" t="s">
        <v>29</v>
      </c>
      <c r="N718" t="s">
        <v>46</v>
      </c>
    </row>
    <row r="719" spans="1:14" x14ac:dyDescent="0.3">
      <c r="A719">
        <v>36701532</v>
      </c>
      <c r="B719" t="s">
        <v>787</v>
      </c>
      <c r="C719" t="s">
        <v>24</v>
      </c>
      <c r="D719" s="1">
        <v>45474</v>
      </c>
      <c r="E719">
        <v>19756</v>
      </c>
      <c r="F719" t="s">
        <v>50</v>
      </c>
      <c r="G719" t="s">
        <v>17</v>
      </c>
      <c r="H719" t="s">
        <v>26</v>
      </c>
      <c r="I719" t="s">
        <v>34</v>
      </c>
      <c r="J719" t="s">
        <v>41</v>
      </c>
      <c r="K719">
        <v>0</v>
      </c>
      <c r="L719">
        <v>34</v>
      </c>
      <c r="M719" t="s">
        <v>65</v>
      </c>
      <c r="N719" t="s">
        <v>73</v>
      </c>
    </row>
    <row r="720" spans="1:14" x14ac:dyDescent="0.3">
      <c r="A720">
        <v>77808857</v>
      </c>
      <c r="B720" t="s">
        <v>788</v>
      </c>
      <c r="C720" t="s">
        <v>31</v>
      </c>
      <c r="D720" s="1">
        <v>45283</v>
      </c>
      <c r="E720">
        <v>14347</v>
      </c>
      <c r="F720" t="s">
        <v>39</v>
      </c>
      <c r="G720" t="s">
        <v>71</v>
      </c>
      <c r="H720" t="s">
        <v>103</v>
      </c>
      <c r="I720" t="s">
        <v>34</v>
      </c>
      <c r="J720" t="s">
        <v>41</v>
      </c>
      <c r="K720">
        <v>1</v>
      </c>
      <c r="L720">
        <v>23</v>
      </c>
      <c r="M720" t="s">
        <v>58</v>
      </c>
      <c r="N720" t="s">
        <v>43</v>
      </c>
    </row>
    <row r="721" spans="1:14" x14ac:dyDescent="0.3">
      <c r="A721">
        <v>68820542</v>
      </c>
      <c r="B721" t="s">
        <v>789</v>
      </c>
      <c r="C721" t="s">
        <v>38</v>
      </c>
      <c r="D721" s="1">
        <v>45306</v>
      </c>
      <c r="E721">
        <v>10512</v>
      </c>
      <c r="F721" t="s">
        <v>16</v>
      </c>
      <c r="G721" t="s">
        <v>55</v>
      </c>
      <c r="H721" t="s">
        <v>26</v>
      </c>
      <c r="I721" t="s">
        <v>27</v>
      </c>
      <c r="J721" t="s">
        <v>52</v>
      </c>
      <c r="K721">
        <v>0</v>
      </c>
      <c r="L721">
        <v>48</v>
      </c>
      <c r="M721" t="s">
        <v>21</v>
      </c>
      <c r="N721" t="s">
        <v>36</v>
      </c>
    </row>
    <row r="722" spans="1:14" x14ac:dyDescent="0.3">
      <c r="A722">
        <v>50379683</v>
      </c>
      <c r="B722" t="s">
        <v>790</v>
      </c>
      <c r="C722" t="s">
        <v>45</v>
      </c>
      <c r="D722" s="1">
        <v>45620</v>
      </c>
      <c r="E722">
        <v>1724</v>
      </c>
      <c r="F722" t="s">
        <v>50</v>
      </c>
      <c r="G722" t="s">
        <v>17</v>
      </c>
      <c r="H722" t="s">
        <v>51</v>
      </c>
      <c r="I722" t="s">
        <v>72</v>
      </c>
      <c r="J722" t="s">
        <v>57</v>
      </c>
      <c r="K722">
        <v>0</v>
      </c>
      <c r="L722">
        <v>69</v>
      </c>
      <c r="M722" t="s">
        <v>58</v>
      </c>
      <c r="N722" t="s">
        <v>36</v>
      </c>
    </row>
    <row r="723" spans="1:14" x14ac:dyDescent="0.3">
      <c r="A723">
        <v>12076898</v>
      </c>
      <c r="B723" t="s">
        <v>791</v>
      </c>
      <c r="C723" t="s">
        <v>70</v>
      </c>
      <c r="D723" s="1">
        <v>45421</v>
      </c>
      <c r="E723">
        <v>11186</v>
      </c>
      <c r="F723" t="s">
        <v>16</v>
      </c>
      <c r="G723" t="s">
        <v>25</v>
      </c>
      <c r="H723" t="s">
        <v>103</v>
      </c>
      <c r="I723" t="s">
        <v>34</v>
      </c>
      <c r="J723" t="s">
        <v>52</v>
      </c>
      <c r="K723">
        <v>0</v>
      </c>
      <c r="L723">
        <v>46</v>
      </c>
      <c r="M723" t="s">
        <v>42</v>
      </c>
      <c r="N723" t="s">
        <v>22</v>
      </c>
    </row>
    <row r="724" spans="1:14" x14ac:dyDescent="0.3">
      <c r="A724">
        <v>52541363</v>
      </c>
      <c r="B724" t="s">
        <v>792</v>
      </c>
      <c r="C724" t="s">
        <v>38</v>
      </c>
      <c r="D724" s="1">
        <v>45615</v>
      </c>
      <c r="E724">
        <v>18411</v>
      </c>
      <c r="F724" t="s">
        <v>16</v>
      </c>
      <c r="G724" t="s">
        <v>71</v>
      </c>
      <c r="H724" t="s">
        <v>62</v>
      </c>
      <c r="I724" t="s">
        <v>19</v>
      </c>
      <c r="J724" t="s">
        <v>20</v>
      </c>
      <c r="K724">
        <v>0</v>
      </c>
      <c r="L724">
        <v>29</v>
      </c>
      <c r="M724" t="s">
        <v>58</v>
      </c>
      <c r="N724" t="s">
        <v>22</v>
      </c>
    </row>
    <row r="725" spans="1:14" x14ac:dyDescent="0.3">
      <c r="A725">
        <v>22624632</v>
      </c>
      <c r="B725" t="s">
        <v>793</v>
      </c>
      <c r="C725" t="s">
        <v>24</v>
      </c>
      <c r="D725" s="1">
        <v>45415</v>
      </c>
      <c r="E725">
        <v>12800</v>
      </c>
      <c r="F725" t="s">
        <v>16</v>
      </c>
      <c r="G725" t="s">
        <v>32</v>
      </c>
      <c r="H725" t="s">
        <v>56</v>
      </c>
      <c r="I725" t="s">
        <v>27</v>
      </c>
      <c r="J725" t="s">
        <v>35</v>
      </c>
      <c r="K725">
        <v>0</v>
      </c>
      <c r="L725">
        <v>90</v>
      </c>
      <c r="M725" t="s">
        <v>58</v>
      </c>
      <c r="N725" t="s">
        <v>59</v>
      </c>
    </row>
    <row r="726" spans="1:14" x14ac:dyDescent="0.3">
      <c r="A726">
        <v>20071099</v>
      </c>
      <c r="B726" t="s">
        <v>794</v>
      </c>
      <c r="C726" t="s">
        <v>101</v>
      </c>
      <c r="D726" s="1">
        <v>45466</v>
      </c>
      <c r="E726">
        <v>18579</v>
      </c>
      <c r="F726" t="s">
        <v>39</v>
      </c>
      <c r="G726" t="s">
        <v>55</v>
      </c>
      <c r="H726" t="s">
        <v>46</v>
      </c>
      <c r="I726" t="s">
        <v>19</v>
      </c>
      <c r="J726" t="s">
        <v>52</v>
      </c>
      <c r="K726">
        <v>0</v>
      </c>
      <c r="L726">
        <v>56</v>
      </c>
      <c r="M726" t="s">
        <v>58</v>
      </c>
      <c r="N726" t="s">
        <v>73</v>
      </c>
    </row>
    <row r="727" spans="1:14" x14ac:dyDescent="0.3">
      <c r="A727">
        <v>49383293</v>
      </c>
      <c r="B727" t="s">
        <v>795</v>
      </c>
      <c r="C727" t="s">
        <v>101</v>
      </c>
      <c r="D727" s="1">
        <v>45323</v>
      </c>
      <c r="E727">
        <v>12958</v>
      </c>
      <c r="F727" t="s">
        <v>16</v>
      </c>
      <c r="G727" t="s">
        <v>17</v>
      </c>
      <c r="H727" t="s">
        <v>18</v>
      </c>
      <c r="I727" t="s">
        <v>72</v>
      </c>
      <c r="J727" t="s">
        <v>52</v>
      </c>
      <c r="K727">
        <v>0</v>
      </c>
      <c r="L727">
        <v>66</v>
      </c>
      <c r="M727" t="s">
        <v>58</v>
      </c>
      <c r="N727" t="s">
        <v>36</v>
      </c>
    </row>
    <row r="728" spans="1:14" x14ac:dyDescent="0.3">
      <c r="A728">
        <v>12093001</v>
      </c>
      <c r="B728" t="s">
        <v>796</v>
      </c>
      <c r="C728" t="s">
        <v>54</v>
      </c>
      <c r="D728" s="1">
        <v>45437</v>
      </c>
      <c r="E728">
        <v>18039</v>
      </c>
      <c r="F728" t="s">
        <v>39</v>
      </c>
      <c r="G728" t="s">
        <v>55</v>
      </c>
      <c r="H728" t="s">
        <v>62</v>
      </c>
      <c r="I728" t="s">
        <v>34</v>
      </c>
      <c r="J728" t="s">
        <v>52</v>
      </c>
      <c r="K728">
        <v>0</v>
      </c>
      <c r="L728">
        <v>71</v>
      </c>
      <c r="M728" t="s">
        <v>29</v>
      </c>
      <c r="N728" t="s">
        <v>48</v>
      </c>
    </row>
    <row r="729" spans="1:14" x14ac:dyDescent="0.3">
      <c r="A729">
        <v>32479653</v>
      </c>
      <c r="B729" t="s">
        <v>797</v>
      </c>
      <c r="C729" t="s">
        <v>54</v>
      </c>
      <c r="D729" s="1">
        <v>45603</v>
      </c>
      <c r="E729">
        <v>19160</v>
      </c>
      <c r="F729" t="s">
        <v>39</v>
      </c>
      <c r="G729" t="s">
        <v>71</v>
      </c>
      <c r="H729" t="s">
        <v>62</v>
      </c>
      <c r="I729" t="s">
        <v>34</v>
      </c>
      <c r="J729" t="s">
        <v>20</v>
      </c>
      <c r="K729">
        <v>0</v>
      </c>
      <c r="L729">
        <v>75</v>
      </c>
      <c r="M729" t="s">
        <v>42</v>
      </c>
      <c r="N729" t="s">
        <v>43</v>
      </c>
    </row>
    <row r="730" spans="1:14" x14ac:dyDescent="0.3">
      <c r="A730">
        <v>60403246</v>
      </c>
      <c r="B730" t="s">
        <v>798</v>
      </c>
      <c r="C730" t="s">
        <v>70</v>
      </c>
      <c r="D730" s="1">
        <v>45400</v>
      </c>
      <c r="E730">
        <v>19765</v>
      </c>
      <c r="F730" t="s">
        <v>61</v>
      </c>
      <c r="G730" t="s">
        <v>55</v>
      </c>
      <c r="H730" t="s">
        <v>40</v>
      </c>
      <c r="I730" t="s">
        <v>34</v>
      </c>
      <c r="J730" t="s">
        <v>52</v>
      </c>
      <c r="K730">
        <v>0</v>
      </c>
      <c r="L730">
        <v>61</v>
      </c>
      <c r="M730" t="s">
        <v>65</v>
      </c>
      <c r="N730" t="s">
        <v>59</v>
      </c>
    </row>
    <row r="731" spans="1:14" x14ac:dyDescent="0.3">
      <c r="A731">
        <v>88043181</v>
      </c>
      <c r="B731" t="s">
        <v>799</v>
      </c>
      <c r="C731" t="s">
        <v>38</v>
      </c>
      <c r="D731" s="1">
        <v>45569</v>
      </c>
      <c r="E731">
        <v>17024</v>
      </c>
      <c r="F731" t="s">
        <v>39</v>
      </c>
      <c r="G731" t="s">
        <v>32</v>
      </c>
      <c r="H731" t="s">
        <v>46</v>
      </c>
      <c r="I731" t="s">
        <v>27</v>
      </c>
      <c r="J731" t="s">
        <v>41</v>
      </c>
      <c r="K731">
        <v>0</v>
      </c>
      <c r="L731">
        <v>10</v>
      </c>
      <c r="M731" t="s">
        <v>65</v>
      </c>
      <c r="N731" t="s">
        <v>59</v>
      </c>
    </row>
    <row r="732" spans="1:14" x14ac:dyDescent="0.3">
      <c r="A732">
        <v>87959519</v>
      </c>
      <c r="B732" t="s">
        <v>800</v>
      </c>
      <c r="C732" t="s">
        <v>75</v>
      </c>
      <c r="D732" s="1">
        <v>45281</v>
      </c>
      <c r="E732">
        <v>7499</v>
      </c>
      <c r="F732" t="s">
        <v>50</v>
      </c>
      <c r="G732" t="s">
        <v>71</v>
      </c>
      <c r="H732" t="s">
        <v>103</v>
      </c>
      <c r="I732" t="s">
        <v>27</v>
      </c>
      <c r="J732" t="s">
        <v>85</v>
      </c>
      <c r="K732">
        <v>1</v>
      </c>
      <c r="L732">
        <v>40</v>
      </c>
      <c r="M732" t="s">
        <v>42</v>
      </c>
      <c r="N732" t="s">
        <v>87</v>
      </c>
    </row>
    <row r="733" spans="1:14" x14ac:dyDescent="0.3">
      <c r="A733">
        <v>63887302</v>
      </c>
      <c r="B733" t="s">
        <v>801</v>
      </c>
      <c r="C733" t="s">
        <v>75</v>
      </c>
      <c r="D733" s="1">
        <v>45552</v>
      </c>
      <c r="E733">
        <v>18866</v>
      </c>
      <c r="F733" t="s">
        <v>16</v>
      </c>
      <c r="G733" t="s">
        <v>32</v>
      </c>
      <c r="H733" t="s">
        <v>46</v>
      </c>
      <c r="I733" t="s">
        <v>19</v>
      </c>
      <c r="J733" t="s">
        <v>68</v>
      </c>
      <c r="K733">
        <v>0</v>
      </c>
      <c r="L733">
        <v>31</v>
      </c>
      <c r="M733" t="s">
        <v>58</v>
      </c>
      <c r="N733" t="s">
        <v>73</v>
      </c>
    </row>
    <row r="734" spans="1:14" x14ac:dyDescent="0.3">
      <c r="A734">
        <v>90240367</v>
      </c>
      <c r="B734" t="s">
        <v>802</v>
      </c>
      <c r="C734" t="s">
        <v>45</v>
      </c>
      <c r="D734" s="1">
        <v>45327</v>
      </c>
      <c r="E734">
        <v>9887</v>
      </c>
      <c r="F734" t="s">
        <v>16</v>
      </c>
      <c r="G734" t="s">
        <v>32</v>
      </c>
      <c r="H734" t="s">
        <v>33</v>
      </c>
      <c r="I734" t="s">
        <v>34</v>
      </c>
      <c r="J734" t="s">
        <v>52</v>
      </c>
      <c r="K734">
        <v>0</v>
      </c>
      <c r="L734">
        <v>81</v>
      </c>
      <c r="M734" t="s">
        <v>58</v>
      </c>
      <c r="N734" t="s">
        <v>87</v>
      </c>
    </row>
    <row r="735" spans="1:14" x14ac:dyDescent="0.3">
      <c r="A735">
        <v>77022854</v>
      </c>
      <c r="B735" t="s">
        <v>803</v>
      </c>
      <c r="C735" t="s">
        <v>31</v>
      </c>
      <c r="D735" s="1">
        <v>45418</v>
      </c>
      <c r="E735">
        <v>7772</v>
      </c>
      <c r="F735" t="s">
        <v>16</v>
      </c>
      <c r="G735" t="s">
        <v>55</v>
      </c>
      <c r="H735" t="s">
        <v>56</v>
      </c>
      <c r="I735" t="s">
        <v>19</v>
      </c>
      <c r="J735" t="s">
        <v>35</v>
      </c>
      <c r="K735">
        <v>0</v>
      </c>
      <c r="L735">
        <v>46</v>
      </c>
      <c r="M735" t="s">
        <v>42</v>
      </c>
      <c r="N735" t="s">
        <v>43</v>
      </c>
    </row>
    <row r="736" spans="1:14" x14ac:dyDescent="0.3">
      <c r="A736">
        <v>78613238</v>
      </c>
      <c r="B736" t="s">
        <v>804</v>
      </c>
      <c r="C736" t="s">
        <v>31</v>
      </c>
      <c r="D736" s="1">
        <v>45589</v>
      </c>
      <c r="E736">
        <v>22708</v>
      </c>
      <c r="F736" t="s">
        <v>61</v>
      </c>
      <c r="G736" t="s">
        <v>71</v>
      </c>
      <c r="H736" t="s">
        <v>33</v>
      </c>
      <c r="I736" t="s">
        <v>27</v>
      </c>
      <c r="J736" t="s">
        <v>68</v>
      </c>
      <c r="K736">
        <v>0</v>
      </c>
      <c r="L736">
        <v>61</v>
      </c>
      <c r="M736" t="s">
        <v>29</v>
      </c>
      <c r="N736" t="s">
        <v>48</v>
      </c>
    </row>
    <row r="737" spans="1:14" x14ac:dyDescent="0.3">
      <c r="A737">
        <v>55421291</v>
      </c>
      <c r="B737" t="s">
        <v>805</v>
      </c>
      <c r="C737" t="s">
        <v>38</v>
      </c>
      <c r="D737" s="1">
        <v>45614</v>
      </c>
      <c r="E737">
        <v>12752</v>
      </c>
      <c r="F737" t="s">
        <v>39</v>
      </c>
      <c r="G737" t="s">
        <v>32</v>
      </c>
      <c r="H737" t="s">
        <v>46</v>
      </c>
      <c r="I737" t="s">
        <v>27</v>
      </c>
      <c r="J737" t="s">
        <v>79</v>
      </c>
      <c r="K737">
        <v>0</v>
      </c>
      <c r="L737">
        <v>59</v>
      </c>
      <c r="M737" t="s">
        <v>29</v>
      </c>
      <c r="N737" t="s">
        <v>43</v>
      </c>
    </row>
    <row r="738" spans="1:14" x14ac:dyDescent="0.3">
      <c r="A738">
        <v>38766957</v>
      </c>
      <c r="B738" t="s">
        <v>806</v>
      </c>
      <c r="C738" t="s">
        <v>38</v>
      </c>
      <c r="D738" s="1">
        <v>45458</v>
      </c>
      <c r="E738">
        <v>22062</v>
      </c>
      <c r="F738" t="s">
        <v>39</v>
      </c>
      <c r="G738" t="s">
        <v>17</v>
      </c>
      <c r="H738" t="s">
        <v>40</v>
      </c>
      <c r="I738" t="s">
        <v>19</v>
      </c>
      <c r="J738" t="s">
        <v>85</v>
      </c>
      <c r="K738">
        <v>0</v>
      </c>
      <c r="L738">
        <v>80</v>
      </c>
      <c r="M738" t="s">
        <v>58</v>
      </c>
      <c r="N738" t="s">
        <v>46</v>
      </c>
    </row>
    <row r="739" spans="1:14" x14ac:dyDescent="0.3">
      <c r="A739">
        <v>76481352</v>
      </c>
      <c r="B739" t="s">
        <v>807</v>
      </c>
      <c r="C739" t="s">
        <v>54</v>
      </c>
      <c r="D739" s="1">
        <v>45471</v>
      </c>
      <c r="E739">
        <v>7352</v>
      </c>
      <c r="F739" t="s">
        <v>61</v>
      </c>
      <c r="G739" t="s">
        <v>71</v>
      </c>
      <c r="H739" t="s">
        <v>26</v>
      </c>
      <c r="I739" t="s">
        <v>72</v>
      </c>
      <c r="J739" t="s">
        <v>20</v>
      </c>
      <c r="K739">
        <v>1</v>
      </c>
      <c r="L739">
        <v>16</v>
      </c>
      <c r="M739" t="s">
        <v>21</v>
      </c>
      <c r="N739" t="s">
        <v>73</v>
      </c>
    </row>
    <row r="740" spans="1:14" x14ac:dyDescent="0.3">
      <c r="A740">
        <v>24275215</v>
      </c>
      <c r="B740" t="s">
        <v>808</v>
      </c>
      <c r="C740" t="s">
        <v>77</v>
      </c>
      <c r="D740" s="1">
        <v>45341</v>
      </c>
      <c r="E740">
        <v>21420</v>
      </c>
      <c r="F740" t="s">
        <v>39</v>
      </c>
      <c r="G740" t="s">
        <v>25</v>
      </c>
      <c r="H740" t="s">
        <v>26</v>
      </c>
      <c r="I740" t="s">
        <v>34</v>
      </c>
      <c r="J740" t="s">
        <v>20</v>
      </c>
      <c r="K740">
        <v>0</v>
      </c>
      <c r="L740">
        <v>75</v>
      </c>
      <c r="M740" t="s">
        <v>58</v>
      </c>
      <c r="N740" t="s">
        <v>22</v>
      </c>
    </row>
    <row r="741" spans="1:14" x14ac:dyDescent="0.3">
      <c r="A741">
        <v>82179115</v>
      </c>
      <c r="B741" t="s">
        <v>809</v>
      </c>
      <c r="C741" t="s">
        <v>101</v>
      </c>
      <c r="D741" s="1">
        <v>45460</v>
      </c>
      <c r="E741">
        <v>17577</v>
      </c>
      <c r="F741" t="s">
        <v>39</v>
      </c>
      <c r="G741" t="s">
        <v>32</v>
      </c>
      <c r="H741" t="s">
        <v>46</v>
      </c>
      <c r="I741" t="s">
        <v>72</v>
      </c>
      <c r="J741" t="s">
        <v>52</v>
      </c>
      <c r="K741">
        <v>1</v>
      </c>
      <c r="L741">
        <v>69</v>
      </c>
      <c r="M741" t="s">
        <v>29</v>
      </c>
      <c r="N741" t="s">
        <v>87</v>
      </c>
    </row>
    <row r="742" spans="1:14" x14ac:dyDescent="0.3">
      <c r="A742">
        <v>83603030</v>
      </c>
      <c r="B742" t="s">
        <v>810</v>
      </c>
      <c r="C742" t="s">
        <v>45</v>
      </c>
      <c r="D742" s="1">
        <v>45613</v>
      </c>
      <c r="E742">
        <v>10361</v>
      </c>
      <c r="F742" t="s">
        <v>16</v>
      </c>
      <c r="G742" t="s">
        <v>71</v>
      </c>
      <c r="H742" t="s">
        <v>18</v>
      </c>
      <c r="I742" t="s">
        <v>27</v>
      </c>
      <c r="J742" t="s">
        <v>85</v>
      </c>
      <c r="K742">
        <v>1</v>
      </c>
      <c r="L742">
        <v>71</v>
      </c>
      <c r="M742" t="s">
        <v>58</v>
      </c>
      <c r="N742" t="s">
        <v>59</v>
      </c>
    </row>
    <row r="743" spans="1:14" x14ac:dyDescent="0.3">
      <c r="A743">
        <v>95882123</v>
      </c>
      <c r="B743" t="s">
        <v>811</v>
      </c>
      <c r="C743" t="s">
        <v>77</v>
      </c>
      <c r="D743" s="1">
        <v>45327</v>
      </c>
      <c r="E743">
        <v>6237</v>
      </c>
      <c r="F743" t="s">
        <v>39</v>
      </c>
      <c r="G743" t="s">
        <v>71</v>
      </c>
      <c r="H743" t="s">
        <v>51</v>
      </c>
      <c r="I743" t="s">
        <v>72</v>
      </c>
      <c r="J743" t="s">
        <v>79</v>
      </c>
      <c r="K743">
        <v>0</v>
      </c>
      <c r="L743">
        <v>86</v>
      </c>
      <c r="M743" t="s">
        <v>47</v>
      </c>
      <c r="N743" t="s">
        <v>46</v>
      </c>
    </row>
    <row r="744" spans="1:14" x14ac:dyDescent="0.3">
      <c r="A744">
        <v>91269635</v>
      </c>
      <c r="B744" t="s">
        <v>812</v>
      </c>
      <c r="C744" t="s">
        <v>70</v>
      </c>
      <c r="D744" s="1">
        <v>45480</v>
      </c>
      <c r="E744">
        <v>11756</v>
      </c>
      <c r="F744" t="s">
        <v>61</v>
      </c>
      <c r="G744" t="s">
        <v>71</v>
      </c>
      <c r="H744" t="s">
        <v>40</v>
      </c>
      <c r="I744" t="s">
        <v>34</v>
      </c>
      <c r="J744" t="s">
        <v>52</v>
      </c>
      <c r="K744">
        <v>0</v>
      </c>
      <c r="L744">
        <v>86</v>
      </c>
      <c r="M744" t="s">
        <v>42</v>
      </c>
      <c r="N744" t="s">
        <v>43</v>
      </c>
    </row>
    <row r="745" spans="1:14" x14ac:dyDescent="0.3">
      <c r="A745">
        <v>81975179</v>
      </c>
      <c r="B745" t="s">
        <v>813</v>
      </c>
      <c r="C745" t="s">
        <v>75</v>
      </c>
      <c r="D745" s="1">
        <v>45297</v>
      </c>
      <c r="E745">
        <v>16731</v>
      </c>
      <c r="F745" t="s">
        <v>16</v>
      </c>
      <c r="G745" t="s">
        <v>25</v>
      </c>
      <c r="H745" t="s">
        <v>46</v>
      </c>
      <c r="I745" t="s">
        <v>19</v>
      </c>
      <c r="J745" t="s">
        <v>68</v>
      </c>
      <c r="K745">
        <v>0</v>
      </c>
      <c r="L745">
        <v>86</v>
      </c>
      <c r="M745" t="s">
        <v>42</v>
      </c>
      <c r="N745" t="s">
        <v>43</v>
      </c>
    </row>
    <row r="746" spans="1:14" x14ac:dyDescent="0.3">
      <c r="A746">
        <v>91052651</v>
      </c>
      <c r="B746" t="s">
        <v>814</v>
      </c>
      <c r="C746" t="s">
        <v>31</v>
      </c>
      <c r="D746" s="1">
        <v>45317</v>
      </c>
      <c r="E746">
        <v>9017</v>
      </c>
      <c r="F746" t="s">
        <v>16</v>
      </c>
      <c r="G746" t="s">
        <v>32</v>
      </c>
      <c r="H746" t="s">
        <v>33</v>
      </c>
      <c r="I746" t="s">
        <v>19</v>
      </c>
      <c r="J746" t="s">
        <v>57</v>
      </c>
      <c r="K746">
        <v>0</v>
      </c>
      <c r="L746">
        <v>38</v>
      </c>
      <c r="M746" t="s">
        <v>47</v>
      </c>
      <c r="N746" t="s">
        <v>22</v>
      </c>
    </row>
    <row r="747" spans="1:14" x14ac:dyDescent="0.3">
      <c r="A747">
        <v>76777106</v>
      </c>
      <c r="B747" t="s">
        <v>815</v>
      </c>
      <c r="C747" t="s">
        <v>24</v>
      </c>
      <c r="D747" s="1">
        <v>45277</v>
      </c>
      <c r="E747">
        <v>5215</v>
      </c>
      <c r="F747" t="s">
        <v>61</v>
      </c>
      <c r="G747" t="s">
        <v>32</v>
      </c>
      <c r="H747" t="s">
        <v>56</v>
      </c>
      <c r="I747" t="s">
        <v>34</v>
      </c>
      <c r="J747" t="s">
        <v>85</v>
      </c>
      <c r="K747">
        <v>1</v>
      </c>
      <c r="L747">
        <v>88</v>
      </c>
      <c r="M747" t="s">
        <v>42</v>
      </c>
      <c r="N747" t="s">
        <v>89</v>
      </c>
    </row>
    <row r="748" spans="1:14" x14ac:dyDescent="0.3">
      <c r="A748">
        <v>80451053</v>
      </c>
      <c r="B748" t="s">
        <v>816</v>
      </c>
      <c r="C748" t="s">
        <v>24</v>
      </c>
      <c r="D748" s="1">
        <v>45419</v>
      </c>
      <c r="E748">
        <v>1062</v>
      </c>
      <c r="F748" t="s">
        <v>61</v>
      </c>
      <c r="G748" t="s">
        <v>32</v>
      </c>
      <c r="H748" t="s">
        <v>51</v>
      </c>
      <c r="I748" t="s">
        <v>27</v>
      </c>
      <c r="J748" t="s">
        <v>85</v>
      </c>
      <c r="K748">
        <v>1</v>
      </c>
      <c r="L748">
        <v>17</v>
      </c>
      <c r="M748" t="s">
        <v>42</v>
      </c>
      <c r="N748" t="s">
        <v>73</v>
      </c>
    </row>
    <row r="749" spans="1:14" x14ac:dyDescent="0.3">
      <c r="A749">
        <v>80481977</v>
      </c>
      <c r="B749" t="s">
        <v>817</v>
      </c>
      <c r="C749" t="s">
        <v>101</v>
      </c>
      <c r="D749" s="1">
        <v>45506</v>
      </c>
      <c r="E749">
        <v>5852</v>
      </c>
      <c r="F749" t="s">
        <v>61</v>
      </c>
      <c r="G749" t="s">
        <v>17</v>
      </c>
      <c r="H749" t="s">
        <v>46</v>
      </c>
      <c r="I749" t="s">
        <v>34</v>
      </c>
      <c r="J749" t="s">
        <v>79</v>
      </c>
      <c r="K749">
        <v>0</v>
      </c>
      <c r="L749">
        <v>27</v>
      </c>
      <c r="M749" t="s">
        <v>65</v>
      </c>
      <c r="N749" t="s">
        <v>48</v>
      </c>
    </row>
    <row r="750" spans="1:14" x14ac:dyDescent="0.3">
      <c r="A750">
        <v>82032217</v>
      </c>
      <c r="B750" t="s">
        <v>818</v>
      </c>
      <c r="C750" t="s">
        <v>70</v>
      </c>
      <c r="D750" s="1">
        <v>45398</v>
      </c>
      <c r="E750">
        <v>15847</v>
      </c>
      <c r="F750" t="s">
        <v>39</v>
      </c>
      <c r="G750" t="s">
        <v>71</v>
      </c>
      <c r="H750" t="s">
        <v>51</v>
      </c>
      <c r="I750" t="s">
        <v>72</v>
      </c>
      <c r="J750" t="s">
        <v>57</v>
      </c>
      <c r="K750">
        <v>1</v>
      </c>
      <c r="L750">
        <v>29</v>
      </c>
      <c r="M750" t="s">
        <v>65</v>
      </c>
      <c r="N750" t="s">
        <v>36</v>
      </c>
    </row>
    <row r="751" spans="1:14" x14ac:dyDescent="0.3">
      <c r="A751">
        <v>77310744</v>
      </c>
      <c r="B751" t="s">
        <v>819</v>
      </c>
      <c r="C751" t="s">
        <v>45</v>
      </c>
      <c r="D751" s="1">
        <v>45575</v>
      </c>
      <c r="E751">
        <v>12157</v>
      </c>
      <c r="F751" t="s">
        <v>39</v>
      </c>
      <c r="G751" t="s">
        <v>25</v>
      </c>
      <c r="H751" t="s">
        <v>81</v>
      </c>
      <c r="I751" t="s">
        <v>72</v>
      </c>
      <c r="J751" t="s">
        <v>52</v>
      </c>
      <c r="K751">
        <v>1</v>
      </c>
      <c r="L751">
        <v>62</v>
      </c>
      <c r="M751" t="s">
        <v>21</v>
      </c>
      <c r="N751" t="s">
        <v>43</v>
      </c>
    </row>
    <row r="752" spans="1:14" x14ac:dyDescent="0.3">
      <c r="A752">
        <v>47503865</v>
      </c>
      <c r="B752" t="s">
        <v>820</v>
      </c>
      <c r="C752" t="s">
        <v>54</v>
      </c>
      <c r="D752" s="1">
        <v>45465</v>
      </c>
      <c r="E752">
        <v>10578</v>
      </c>
      <c r="F752" t="s">
        <v>16</v>
      </c>
      <c r="G752" t="s">
        <v>71</v>
      </c>
      <c r="H752" t="s">
        <v>56</v>
      </c>
      <c r="I752" t="s">
        <v>19</v>
      </c>
      <c r="J752" t="s">
        <v>28</v>
      </c>
      <c r="K752">
        <v>1</v>
      </c>
      <c r="L752">
        <v>49</v>
      </c>
      <c r="M752" t="s">
        <v>21</v>
      </c>
      <c r="N752" t="s">
        <v>87</v>
      </c>
    </row>
    <row r="753" spans="1:14" x14ac:dyDescent="0.3">
      <c r="A753">
        <v>69264315</v>
      </c>
      <c r="B753" t="s">
        <v>821</v>
      </c>
      <c r="C753" t="s">
        <v>38</v>
      </c>
      <c r="D753" s="1">
        <v>45571</v>
      </c>
      <c r="E753">
        <v>13228</v>
      </c>
      <c r="F753" t="s">
        <v>16</v>
      </c>
      <c r="G753" t="s">
        <v>71</v>
      </c>
      <c r="H753" t="s">
        <v>18</v>
      </c>
      <c r="I753" t="s">
        <v>27</v>
      </c>
      <c r="J753" t="s">
        <v>68</v>
      </c>
      <c r="K753">
        <v>0</v>
      </c>
      <c r="L753">
        <v>87</v>
      </c>
      <c r="M753" t="s">
        <v>29</v>
      </c>
      <c r="N753" t="s">
        <v>59</v>
      </c>
    </row>
    <row r="754" spans="1:14" x14ac:dyDescent="0.3">
      <c r="A754">
        <v>41287373</v>
      </c>
      <c r="B754" t="s">
        <v>822</v>
      </c>
      <c r="C754" t="s">
        <v>70</v>
      </c>
      <c r="D754" s="1">
        <v>45464</v>
      </c>
      <c r="E754">
        <v>11592</v>
      </c>
      <c r="F754" t="s">
        <v>39</v>
      </c>
      <c r="G754" t="s">
        <v>17</v>
      </c>
      <c r="H754" t="s">
        <v>62</v>
      </c>
      <c r="I754" t="s">
        <v>27</v>
      </c>
      <c r="J754" t="s">
        <v>79</v>
      </c>
      <c r="K754">
        <v>1</v>
      </c>
      <c r="L754">
        <v>16</v>
      </c>
      <c r="M754" t="s">
        <v>47</v>
      </c>
      <c r="N754" t="s">
        <v>59</v>
      </c>
    </row>
    <row r="755" spans="1:14" x14ac:dyDescent="0.3">
      <c r="A755">
        <v>13346982</v>
      </c>
      <c r="B755" t="s">
        <v>823</v>
      </c>
      <c r="C755" t="s">
        <v>24</v>
      </c>
      <c r="D755" s="1">
        <v>45377</v>
      </c>
      <c r="E755">
        <v>16657</v>
      </c>
      <c r="F755" t="s">
        <v>50</v>
      </c>
      <c r="G755" t="s">
        <v>71</v>
      </c>
      <c r="H755" t="s">
        <v>40</v>
      </c>
      <c r="I755" t="s">
        <v>72</v>
      </c>
      <c r="J755" t="s">
        <v>79</v>
      </c>
      <c r="K755">
        <v>0</v>
      </c>
      <c r="L755">
        <v>87</v>
      </c>
      <c r="M755" t="s">
        <v>47</v>
      </c>
      <c r="N755" t="s">
        <v>63</v>
      </c>
    </row>
    <row r="756" spans="1:14" x14ac:dyDescent="0.3">
      <c r="A756">
        <v>47944420</v>
      </c>
      <c r="B756" t="s">
        <v>824</v>
      </c>
      <c r="C756" t="s">
        <v>31</v>
      </c>
      <c r="D756" s="1">
        <v>45534</v>
      </c>
      <c r="E756">
        <v>9485</v>
      </c>
      <c r="F756" t="s">
        <v>39</v>
      </c>
      <c r="G756" t="s">
        <v>55</v>
      </c>
      <c r="H756" t="s">
        <v>18</v>
      </c>
      <c r="I756" t="s">
        <v>72</v>
      </c>
      <c r="J756" t="s">
        <v>68</v>
      </c>
      <c r="K756">
        <v>0</v>
      </c>
      <c r="L756">
        <v>10</v>
      </c>
      <c r="M756" t="s">
        <v>21</v>
      </c>
      <c r="N756" t="s">
        <v>48</v>
      </c>
    </row>
    <row r="757" spans="1:14" x14ac:dyDescent="0.3">
      <c r="A757">
        <v>71496213</v>
      </c>
      <c r="B757" t="s">
        <v>825</v>
      </c>
      <c r="C757" t="s">
        <v>24</v>
      </c>
      <c r="D757" s="1">
        <v>45440</v>
      </c>
      <c r="E757">
        <v>13370</v>
      </c>
      <c r="F757" t="s">
        <v>16</v>
      </c>
      <c r="G757" t="s">
        <v>55</v>
      </c>
      <c r="H757" t="s">
        <v>51</v>
      </c>
      <c r="I757" t="s">
        <v>72</v>
      </c>
      <c r="J757" t="s">
        <v>41</v>
      </c>
      <c r="K757">
        <v>0</v>
      </c>
      <c r="L757">
        <v>35</v>
      </c>
      <c r="M757" t="s">
        <v>21</v>
      </c>
      <c r="N757" t="s">
        <v>73</v>
      </c>
    </row>
    <row r="758" spans="1:14" x14ac:dyDescent="0.3">
      <c r="A758">
        <v>32599662</v>
      </c>
      <c r="B758" t="s">
        <v>826</v>
      </c>
      <c r="C758" t="s">
        <v>15</v>
      </c>
      <c r="D758" s="1">
        <v>45471</v>
      </c>
      <c r="E758">
        <v>21129</v>
      </c>
      <c r="F758" t="s">
        <v>16</v>
      </c>
      <c r="G758" t="s">
        <v>55</v>
      </c>
      <c r="H758" t="s">
        <v>40</v>
      </c>
      <c r="I758" t="s">
        <v>27</v>
      </c>
      <c r="J758" t="s">
        <v>52</v>
      </c>
      <c r="K758">
        <v>0</v>
      </c>
      <c r="L758">
        <v>21</v>
      </c>
      <c r="M758" t="s">
        <v>47</v>
      </c>
      <c r="N758" t="s">
        <v>73</v>
      </c>
    </row>
    <row r="759" spans="1:14" x14ac:dyDescent="0.3">
      <c r="A759">
        <v>48483340</v>
      </c>
      <c r="B759" t="s">
        <v>827</v>
      </c>
      <c r="C759" t="s">
        <v>31</v>
      </c>
      <c r="D759" s="1">
        <v>45579</v>
      </c>
      <c r="E759">
        <v>15727</v>
      </c>
      <c r="F759" t="s">
        <v>61</v>
      </c>
      <c r="G759" t="s">
        <v>71</v>
      </c>
      <c r="H759" t="s">
        <v>62</v>
      </c>
      <c r="I759" t="s">
        <v>27</v>
      </c>
      <c r="J759" t="s">
        <v>57</v>
      </c>
      <c r="K759">
        <v>1</v>
      </c>
      <c r="L759">
        <v>84</v>
      </c>
      <c r="M759" t="s">
        <v>29</v>
      </c>
      <c r="N759" t="s">
        <v>43</v>
      </c>
    </row>
    <row r="760" spans="1:14" x14ac:dyDescent="0.3">
      <c r="A760">
        <v>42067822</v>
      </c>
      <c r="B760" t="s">
        <v>828</v>
      </c>
      <c r="C760" t="s">
        <v>31</v>
      </c>
      <c r="D760" s="1">
        <v>45578</v>
      </c>
      <c r="E760">
        <v>23124</v>
      </c>
      <c r="F760" t="s">
        <v>16</v>
      </c>
      <c r="G760" t="s">
        <v>55</v>
      </c>
      <c r="H760" t="s">
        <v>33</v>
      </c>
      <c r="I760" t="s">
        <v>34</v>
      </c>
      <c r="J760" t="s">
        <v>68</v>
      </c>
      <c r="K760">
        <v>0</v>
      </c>
      <c r="L760">
        <v>83</v>
      </c>
      <c r="M760" t="s">
        <v>65</v>
      </c>
      <c r="N760" t="s">
        <v>73</v>
      </c>
    </row>
    <row r="761" spans="1:14" x14ac:dyDescent="0.3">
      <c r="A761">
        <v>16525667</v>
      </c>
      <c r="B761" t="s">
        <v>829</v>
      </c>
      <c r="C761" t="s">
        <v>24</v>
      </c>
      <c r="D761" s="1">
        <v>45297</v>
      </c>
      <c r="E761">
        <v>20090</v>
      </c>
      <c r="F761" t="s">
        <v>50</v>
      </c>
      <c r="G761" t="s">
        <v>55</v>
      </c>
      <c r="H761" t="s">
        <v>81</v>
      </c>
      <c r="I761" t="s">
        <v>27</v>
      </c>
      <c r="J761" t="s">
        <v>85</v>
      </c>
      <c r="K761">
        <v>1</v>
      </c>
      <c r="L761">
        <v>89</v>
      </c>
      <c r="M761" t="s">
        <v>58</v>
      </c>
      <c r="N761" t="s">
        <v>36</v>
      </c>
    </row>
    <row r="762" spans="1:14" x14ac:dyDescent="0.3">
      <c r="A762">
        <v>82279791</v>
      </c>
      <c r="B762" t="s">
        <v>830</v>
      </c>
      <c r="C762" t="s">
        <v>101</v>
      </c>
      <c r="D762" s="1">
        <v>45617</v>
      </c>
      <c r="E762">
        <v>19252</v>
      </c>
      <c r="F762" t="s">
        <v>39</v>
      </c>
      <c r="G762" t="s">
        <v>17</v>
      </c>
      <c r="H762" t="s">
        <v>26</v>
      </c>
      <c r="I762" t="s">
        <v>19</v>
      </c>
      <c r="J762" t="s">
        <v>28</v>
      </c>
      <c r="K762">
        <v>1</v>
      </c>
      <c r="L762">
        <v>94</v>
      </c>
      <c r="M762" t="s">
        <v>65</v>
      </c>
      <c r="N762" t="s">
        <v>63</v>
      </c>
    </row>
    <row r="763" spans="1:14" x14ac:dyDescent="0.3">
      <c r="A763">
        <v>53891024</v>
      </c>
      <c r="B763" t="s">
        <v>831</v>
      </c>
      <c r="C763" t="s">
        <v>24</v>
      </c>
      <c r="D763" s="1">
        <v>45308</v>
      </c>
      <c r="E763">
        <v>6270</v>
      </c>
      <c r="F763" t="s">
        <v>39</v>
      </c>
      <c r="G763" t="s">
        <v>71</v>
      </c>
      <c r="H763" t="s">
        <v>81</v>
      </c>
      <c r="I763" t="s">
        <v>19</v>
      </c>
      <c r="J763" t="s">
        <v>68</v>
      </c>
      <c r="K763">
        <v>0</v>
      </c>
      <c r="L763">
        <v>74</v>
      </c>
      <c r="M763" t="s">
        <v>29</v>
      </c>
      <c r="N763" t="s">
        <v>89</v>
      </c>
    </row>
    <row r="764" spans="1:14" x14ac:dyDescent="0.3">
      <c r="A764">
        <v>20281851</v>
      </c>
      <c r="B764" t="s">
        <v>832</v>
      </c>
      <c r="C764" t="s">
        <v>54</v>
      </c>
      <c r="D764" s="1">
        <v>45334</v>
      </c>
      <c r="E764">
        <v>180</v>
      </c>
      <c r="F764" t="s">
        <v>50</v>
      </c>
      <c r="G764" t="s">
        <v>25</v>
      </c>
      <c r="H764" t="s">
        <v>103</v>
      </c>
      <c r="I764" t="s">
        <v>19</v>
      </c>
      <c r="J764" t="s">
        <v>57</v>
      </c>
      <c r="K764">
        <v>0</v>
      </c>
      <c r="L764">
        <v>95</v>
      </c>
      <c r="M764" t="s">
        <v>65</v>
      </c>
      <c r="N764" t="s">
        <v>59</v>
      </c>
    </row>
    <row r="765" spans="1:14" x14ac:dyDescent="0.3">
      <c r="A765">
        <v>18389557</v>
      </c>
      <c r="B765" t="s">
        <v>833</v>
      </c>
      <c r="C765" t="s">
        <v>75</v>
      </c>
      <c r="D765" s="1">
        <v>45377</v>
      </c>
      <c r="E765">
        <v>3806</v>
      </c>
      <c r="F765" t="s">
        <v>16</v>
      </c>
      <c r="G765" t="s">
        <v>32</v>
      </c>
      <c r="H765" t="s">
        <v>103</v>
      </c>
      <c r="I765" t="s">
        <v>27</v>
      </c>
      <c r="J765" t="s">
        <v>35</v>
      </c>
      <c r="K765">
        <v>1</v>
      </c>
      <c r="L765">
        <v>93</v>
      </c>
      <c r="M765" t="s">
        <v>21</v>
      </c>
      <c r="N765" t="s">
        <v>73</v>
      </c>
    </row>
    <row r="766" spans="1:14" x14ac:dyDescent="0.3">
      <c r="A766">
        <v>68179256</v>
      </c>
      <c r="B766" t="s">
        <v>834</v>
      </c>
      <c r="C766" t="s">
        <v>54</v>
      </c>
      <c r="D766" s="1">
        <v>45339</v>
      </c>
      <c r="E766">
        <v>10835</v>
      </c>
      <c r="F766" t="s">
        <v>39</v>
      </c>
      <c r="G766" t="s">
        <v>25</v>
      </c>
      <c r="H766" t="s">
        <v>62</v>
      </c>
      <c r="I766" t="s">
        <v>72</v>
      </c>
      <c r="J766" t="s">
        <v>41</v>
      </c>
      <c r="K766">
        <v>1</v>
      </c>
      <c r="L766">
        <v>49</v>
      </c>
      <c r="M766" t="s">
        <v>47</v>
      </c>
      <c r="N766" t="s">
        <v>87</v>
      </c>
    </row>
    <row r="767" spans="1:14" x14ac:dyDescent="0.3">
      <c r="A767">
        <v>31493804</v>
      </c>
      <c r="B767" t="s">
        <v>835</v>
      </c>
      <c r="C767" t="s">
        <v>38</v>
      </c>
      <c r="D767" s="1">
        <v>45469</v>
      </c>
      <c r="E767">
        <v>21884</v>
      </c>
      <c r="F767" t="s">
        <v>61</v>
      </c>
      <c r="G767" t="s">
        <v>71</v>
      </c>
      <c r="H767" t="s">
        <v>51</v>
      </c>
      <c r="I767" t="s">
        <v>19</v>
      </c>
      <c r="J767" t="s">
        <v>85</v>
      </c>
      <c r="K767">
        <v>0</v>
      </c>
      <c r="L767">
        <v>40</v>
      </c>
      <c r="M767" t="s">
        <v>65</v>
      </c>
      <c r="N767" t="s">
        <v>46</v>
      </c>
    </row>
    <row r="768" spans="1:14" x14ac:dyDescent="0.3">
      <c r="A768">
        <v>83427419</v>
      </c>
      <c r="B768" t="s">
        <v>836</v>
      </c>
      <c r="C768" t="s">
        <v>45</v>
      </c>
      <c r="D768" s="1">
        <v>45433</v>
      </c>
      <c r="E768">
        <v>11920</v>
      </c>
      <c r="F768" t="s">
        <v>61</v>
      </c>
      <c r="G768" t="s">
        <v>25</v>
      </c>
      <c r="H768" t="s">
        <v>26</v>
      </c>
      <c r="I768" t="s">
        <v>27</v>
      </c>
      <c r="J768" t="s">
        <v>68</v>
      </c>
      <c r="K768">
        <v>1</v>
      </c>
      <c r="L768">
        <v>18</v>
      </c>
      <c r="M768" t="s">
        <v>42</v>
      </c>
      <c r="N768" t="s">
        <v>73</v>
      </c>
    </row>
    <row r="769" spans="1:14" x14ac:dyDescent="0.3">
      <c r="A769">
        <v>95573178</v>
      </c>
      <c r="B769" t="s">
        <v>837</v>
      </c>
      <c r="C769" t="s">
        <v>45</v>
      </c>
      <c r="D769" s="1">
        <v>45488</v>
      </c>
      <c r="E769">
        <v>4068</v>
      </c>
      <c r="F769" t="s">
        <v>39</v>
      </c>
      <c r="G769" t="s">
        <v>17</v>
      </c>
      <c r="H769" t="s">
        <v>46</v>
      </c>
      <c r="I769" t="s">
        <v>72</v>
      </c>
      <c r="J769" t="s">
        <v>35</v>
      </c>
      <c r="K769">
        <v>1</v>
      </c>
      <c r="L769">
        <v>21</v>
      </c>
      <c r="M769" t="s">
        <v>21</v>
      </c>
      <c r="N769" t="s">
        <v>43</v>
      </c>
    </row>
    <row r="770" spans="1:14" x14ac:dyDescent="0.3">
      <c r="A770">
        <v>83660005</v>
      </c>
      <c r="B770" t="s">
        <v>838</v>
      </c>
      <c r="C770" t="s">
        <v>38</v>
      </c>
      <c r="D770" s="1">
        <v>45312</v>
      </c>
      <c r="E770">
        <v>12282</v>
      </c>
      <c r="F770" t="s">
        <v>16</v>
      </c>
      <c r="G770" t="s">
        <v>17</v>
      </c>
      <c r="H770" t="s">
        <v>51</v>
      </c>
      <c r="I770" t="s">
        <v>72</v>
      </c>
      <c r="J770" t="s">
        <v>57</v>
      </c>
      <c r="K770">
        <v>0</v>
      </c>
      <c r="L770">
        <v>23</v>
      </c>
      <c r="M770" t="s">
        <v>65</v>
      </c>
      <c r="N770" t="s">
        <v>59</v>
      </c>
    </row>
    <row r="771" spans="1:14" x14ac:dyDescent="0.3">
      <c r="A771">
        <v>18331510</v>
      </c>
      <c r="B771" t="s">
        <v>839</v>
      </c>
      <c r="C771" t="s">
        <v>31</v>
      </c>
      <c r="D771" s="1">
        <v>45552</v>
      </c>
      <c r="E771">
        <v>4345</v>
      </c>
      <c r="F771" t="s">
        <v>39</v>
      </c>
      <c r="G771" t="s">
        <v>32</v>
      </c>
      <c r="H771" t="s">
        <v>51</v>
      </c>
      <c r="I771" t="s">
        <v>72</v>
      </c>
      <c r="J771" t="s">
        <v>35</v>
      </c>
      <c r="K771">
        <v>0</v>
      </c>
      <c r="L771">
        <v>38</v>
      </c>
      <c r="M771" t="s">
        <v>65</v>
      </c>
      <c r="N771" t="s">
        <v>87</v>
      </c>
    </row>
    <row r="772" spans="1:14" x14ac:dyDescent="0.3">
      <c r="A772">
        <v>51866629</v>
      </c>
      <c r="B772" t="s">
        <v>840</v>
      </c>
      <c r="C772" t="s">
        <v>54</v>
      </c>
      <c r="D772" s="1">
        <v>45409</v>
      </c>
      <c r="E772">
        <v>3353</v>
      </c>
      <c r="F772" t="s">
        <v>39</v>
      </c>
      <c r="G772" t="s">
        <v>71</v>
      </c>
      <c r="H772" t="s">
        <v>51</v>
      </c>
      <c r="I772" t="s">
        <v>34</v>
      </c>
      <c r="J772" t="s">
        <v>52</v>
      </c>
      <c r="K772">
        <v>0</v>
      </c>
      <c r="L772">
        <v>58</v>
      </c>
      <c r="M772" t="s">
        <v>65</v>
      </c>
      <c r="N772" t="s">
        <v>46</v>
      </c>
    </row>
    <row r="773" spans="1:14" x14ac:dyDescent="0.3">
      <c r="A773">
        <v>38943483</v>
      </c>
      <c r="B773" t="s">
        <v>841</v>
      </c>
      <c r="C773" t="s">
        <v>31</v>
      </c>
      <c r="D773" s="1">
        <v>45484</v>
      </c>
      <c r="E773">
        <v>14235</v>
      </c>
      <c r="F773" t="s">
        <v>39</v>
      </c>
      <c r="G773" t="s">
        <v>17</v>
      </c>
      <c r="H773" t="s">
        <v>26</v>
      </c>
      <c r="I773" t="s">
        <v>72</v>
      </c>
      <c r="J773" t="s">
        <v>68</v>
      </c>
      <c r="K773">
        <v>0</v>
      </c>
      <c r="L773">
        <v>42</v>
      </c>
      <c r="M773" t="s">
        <v>42</v>
      </c>
      <c r="N773" t="s">
        <v>63</v>
      </c>
    </row>
    <row r="774" spans="1:14" x14ac:dyDescent="0.3">
      <c r="A774">
        <v>96013243</v>
      </c>
      <c r="B774" t="s">
        <v>842</v>
      </c>
      <c r="C774" t="s">
        <v>45</v>
      </c>
      <c r="D774" s="1">
        <v>45533</v>
      </c>
      <c r="E774">
        <v>2622</v>
      </c>
      <c r="F774" t="s">
        <v>61</v>
      </c>
      <c r="G774" t="s">
        <v>25</v>
      </c>
      <c r="H774" t="s">
        <v>18</v>
      </c>
      <c r="I774" t="s">
        <v>34</v>
      </c>
      <c r="J774" t="s">
        <v>68</v>
      </c>
      <c r="K774">
        <v>0</v>
      </c>
      <c r="L774">
        <v>79</v>
      </c>
      <c r="M774" t="s">
        <v>47</v>
      </c>
      <c r="N774" t="s">
        <v>48</v>
      </c>
    </row>
    <row r="775" spans="1:14" x14ac:dyDescent="0.3">
      <c r="A775">
        <v>49372632</v>
      </c>
      <c r="B775" t="s">
        <v>843</v>
      </c>
      <c r="C775" t="s">
        <v>54</v>
      </c>
      <c r="D775" s="1">
        <v>45391</v>
      </c>
      <c r="E775">
        <v>16363</v>
      </c>
      <c r="F775" t="s">
        <v>39</v>
      </c>
      <c r="G775" t="s">
        <v>25</v>
      </c>
      <c r="H775" t="s">
        <v>81</v>
      </c>
      <c r="I775" t="s">
        <v>27</v>
      </c>
      <c r="J775" t="s">
        <v>20</v>
      </c>
      <c r="K775">
        <v>0</v>
      </c>
      <c r="L775">
        <v>68</v>
      </c>
      <c r="M775" t="s">
        <v>65</v>
      </c>
      <c r="N775" t="s">
        <v>48</v>
      </c>
    </row>
    <row r="776" spans="1:14" x14ac:dyDescent="0.3">
      <c r="A776">
        <v>92704665</v>
      </c>
      <c r="B776" t="s">
        <v>844</v>
      </c>
      <c r="C776" t="s">
        <v>101</v>
      </c>
      <c r="D776" s="1">
        <v>45308</v>
      </c>
      <c r="E776">
        <v>24002</v>
      </c>
      <c r="F776" t="s">
        <v>39</v>
      </c>
      <c r="G776" t="s">
        <v>55</v>
      </c>
      <c r="H776" t="s">
        <v>33</v>
      </c>
      <c r="I776" t="s">
        <v>19</v>
      </c>
      <c r="J776" t="s">
        <v>68</v>
      </c>
      <c r="K776">
        <v>0</v>
      </c>
      <c r="L776">
        <v>38</v>
      </c>
      <c r="M776" t="s">
        <v>29</v>
      </c>
      <c r="N776" t="s">
        <v>46</v>
      </c>
    </row>
    <row r="777" spans="1:14" x14ac:dyDescent="0.3">
      <c r="A777">
        <v>57761872</v>
      </c>
      <c r="B777" t="s">
        <v>845</v>
      </c>
      <c r="C777" t="s">
        <v>77</v>
      </c>
      <c r="D777" s="1">
        <v>45526</v>
      </c>
      <c r="E777">
        <v>21678</v>
      </c>
      <c r="F777" t="s">
        <v>39</v>
      </c>
      <c r="G777" t="s">
        <v>17</v>
      </c>
      <c r="H777" t="s">
        <v>81</v>
      </c>
      <c r="I777" t="s">
        <v>19</v>
      </c>
      <c r="J777" t="s">
        <v>79</v>
      </c>
      <c r="K777">
        <v>1</v>
      </c>
      <c r="L777">
        <v>68</v>
      </c>
      <c r="M777" t="s">
        <v>58</v>
      </c>
      <c r="N777" t="s">
        <v>22</v>
      </c>
    </row>
    <row r="778" spans="1:14" x14ac:dyDescent="0.3">
      <c r="A778">
        <v>28048463</v>
      </c>
      <c r="B778" t="s">
        <v>846</v>
      </c>
      <c r="C778" t="s">
        <v>77</v>
      </c>
      <c r="D778" s="1">
        <v>45327</v>
      </c>
      <c r="E778">
        <v>3067</v>
      </c>
      <c r="F778" t="s">
        <v>50</v>
      </c>
      <c r="G778" t="s">
        <v>17</v>
      </c>
      <c r="H778" t="s">
        <v>18</v>
      </c>
      <c r="I778" t="s">
        <v>34</v>
      </c>
      <c r="J778" t="s">
        <v>20</v>
      </c>
      <c r="K778">
        <v>1</v>
      </c>
      <c r="L778">
        <v>38</v>
      </c>
      <c r="M778" t="s">
        <v>58</v>
      </c>
      <c r="N778" t="s">
        <v>63</v>
      </c>
    </row>
    <row r="779" spans="1:14" x14ac:dyDescent="0.3">
      <c r="A779">
        <v>63624162</v>
      </c>
      <c r="B779" t="s">
        <v>847</v>
      </c>
      <c r="C779" t="s">
        <v>31</v>
      </c>
      <c r="D779" s="1">
        <v>45422</v>
      </c>
      <c r="E779">
        <v>20794</v>
      </c>
      <c r="F779" t="s">
        <v>16</v>
      </c>
      <c r="G779" t="s">
        <v>71</v>
      </c>
      <c r="H779" t="s">
        <v>33</v>
      </c>
      <c r="I779" t="s">
        <v>72</v>
      </c>
      <c r="J779" t="s">
        <v>79</v>
      </c>
      <c r="K779">
        <v>1</v>
      </c>
      <c r="L779">
        <v>63</v>
      </c>
      <c r="M779" t="s">
        <v>58</v>
      </c>
      <c r="N779" t="s">
        <v>89</v>
      </c>
    </row>
    <row r="780" spans="1:14" x14ac:dyDescent="0.3">
      <c r="A780">
        <v>29573000</v>
      </c>
      <c r="B780" t="s">
        <v>848</v>
      </c>
      <c r="C780" t="s">
        <v>31</v>
      </c>
      <c r="D780" s="1">
        <v>45322</v>
      </c>
      <c r="E780">
        <v>19948</v>
      </c>
      <c r="F780" t="s">
        <v>16</v>
      </c>
      <c r="G780" t="s">
        <v>55</v>
      </c>
      <c r="H780" t="s">
        <v>46</v>
      </c>
      <c r="I780" t="s">
        <v>27</v>
      </c>
      <c r="J780" t="s">
        <v>52</v>
      </c>
      <c r="K780">
        <v>0</v>
      </c>
      <c r="L780">
        <v>65</v>
      </c>
      <c r="M780" t="s">
        <v>65</v>
      </c>
      <c r="N780" t="s">
        <v>73</v>
      </c>
    </row>
    <row r="781" spans="1:14" x14ac:dyDescent="0.3">
      <c r="A781">
        <v>27458335</v>
      </c>
      <c r="B781" t="s">
        <v>849</v>
      </c>
      <c r="C781" t="s">
        <v>77</v>
      </c>
      <c r="D781" s="1">
        <v>45577</v>
      </c>
      <c r="E781">
        <v>20667</v>
      </c>
      <c r="F781" t="s">
        <v>16</v>
      </c>
      <c r="G781" t="s">
        <v>32</v>
      </c>
      <c r="H781" t="s">
        <v>81</v>
      </c>
      <c r="I781" t="s">
        <v>34</v>
      </c>
      <c r="J781" t="s">
        <v>35</v>
      </c>
      <c r="K781">
        <v>0</v>
      </c>
      <c r="L781">
        <v>53</v>
      </c>
      <c r="M781" t="s">
        <v>21</v>
      </c>
      <c r="N781" t="s">
        <v>22</v>
      </c>
    </row>
    <row r="782" spans="1:14" x14ac:dyDescent="0.3">
      <c r="A782">
        <v>64199193</v>
      </c>
      <c r="B782" t="s">
        <v>850</v>
      </c>
      <c r="C782" t="s">
        <v>54</v>
      </c>
      <c r="D782" s="1">
        <v>45551</v>
      </c>
      <c r="E782">
        <v>7872</v>
      </c>
      <c r="F782" t="s">
        <v>61</v>
      </c>
      <c r="G782" t="s">
        <v>25</v>
      </c>
      <c r="H782" t="s">
        <v>81</v>
      </c>
      <c r="I782" t="s">
        <v>27</v>
      </c>
      <c r="J782" t="s">
        <v>79</v>
      </c>
      <c r="K782">
        <v>0</v>
      </c>
      <c r="L782">
        <v>43</v>
      </c>
      <c r="M782" t="s">
        <v>21</v>
      </c>
      <c r="N782" t="s">
        <v>22</v>
      </c>
    </row>
    <row r="783" spans="1:14" x14ac:dyDescent="0.3">
      <c r="A783">
        <v>36827337</v>
      </c>
      <c r="B783" t="s">
        <v>851</v>
      </c>
      <c r="C783" t="s">
        <v>101</v>
      </c>
      <c r="D783" s="1">
        <v>45355</v>
      </c>
      <c r="E783">
        <v>1117</v>
      </c>
      <c r="F783" t="s">
        <v>16</v>
      </c>
      <c r="G783" t="s">
        <v>71</v>
      </c>
      <c r="H783" t="s">
        <v>51</v>
      </c>
      <c r="I783" t="s">
        <v>72</v>
      </c>
      <c r="J783" t="s">
        <v>28</v>
      </c>
      <c r="K783">
        <v>1</v>
      </c>
      <c r="L783">
        <v>76</v>
      </c>
      <c r="M783" t="s">
        <v>29</v>
      </c>
      <c r="N783" t="s">
        <v>46</v>
      </c>
    </row>
    <row r="784" spans="1:14" x14ac:dyDescent="0.3">
      <c r="A784">
        <v>91094131</v>
      </c>
      <c r="B784" t="s">
        <v>852</v>
      </c>
      <c r="C784" t="s">
        <v>75</v>
      </c>
      <c r="D784" s="1">
        <v>45342</v>
      </c>
      <c r="E784">
        <v>21078</v>
      </c>
      <c r="F784" t="s">
        <v>16</v>
      </c>
      <c r="G784" t="s">
        <v>32</v>
      </c>
      <c r="H784" t="s">
        <v>26</v>
      </c>
      <c r="I784" t="s">
        <v>19</v>
      </c>
      <c r="J784" t="s">
        <v>20</v>
      </c>
      <c r="K784">
        <v>1</v>
      </c>
      <c r="L784">
        <v>73</v>
      </c>
      <c r="M784" t="s">
        <v>65</v>
      </c>
      <c r="N784" t="s">
        <v>63</v>
      </c>
    </row>
    <row r="785" spans="1:14" x14ac:dyDescent="0.3">
      <c r="A785">
        <v>41177201</v>
      </c>
      <c r="B785" t="s">
        <v>853</v>
      </c>
      <c r="C785" t="s">
        <v>38</v>
      </c>
      <c r="D785" s="1">
        <v>45577</v>
      </c>
      <c r="E785">
        <v>3727</v>
      </c>
      <c r="F785" t="s">
        <v>39</v>
      </c>
      <c r="G785" t="s">
        <v>55</v>
      </c>
      <c r="H785" t="s">
        <v>33</v>
      </c>
      <c r="I785" t="s">
        <v>72</v>
      </c>
      <c r="J785" t="s">
        <v>52</v>
      </c>
      <c r="K785">
        <v>0</v>
      </c>
      <c r="L785">
        <v>63</v>
      </c>
      <c r="M785" t="s">
        <v>58</v>
      </c>
      <c r="N785" t="s">
        <v>46</v>
      </c>
    </row>
    <row r="786" spans="1:14" x14ac:dyDescent="0.3">
      <c r="A786">
        <v>29170605</v>
      </c>
      <c r="B786" t="s">
        <v>854</v>
      </c>
      <c r="C786" t="s">
        <v>15</v>
      </c>
      <c r="D786" s="1">
        <v>45359</v>
      </c>
      <c r="E786">
        <v>19893</v>
      </c>
      <c r="F786" t="s">
        <v>39</v>
      </c>
      <c r="G786" t="s">
        <v>71</v>
      </c>
      <c r="H786" t="s">
        <v>62</v>
      </c>
      <c r="I786" t="s">
        <v>34</v>
      </c>
      <c r="J786" t="s">
        <v>79</v>
      </c>
      <c r="K786">
        <v>0</v>
      </c>
      <c r="L786">
        <v>25</v>
      </c>
      <c r="M786" t="s">
        <v>42</v>
      </c>
      <c r="N786" t="s">
        <v>89</v>
      </c>
    </row>
    <row r="787" spans="1:14" x14ac:dyDescent="0.3">
      <c r="A787">
        <v>47882218</v>
      </c>
      <c r="B787" t="s">
        <v>855</v>
      </c>
      <c r="C787" t="s">
        <v>38</v>
      </c>
      <c r="D787" s="1">
        <v>45339</v>
      </c>
      <c r="E787">
        <v>12304</v>
      </c>
      <c r="F787" t="s">
        <v>39</v>
      </c>
      <c r="G787" t="s">
        <v>32</v>
      </c>
      <c r="H787" t="s">
        <v>18</v>
      </c>
      <c r="I787" t="s">
        <v>34</v>
      </c>
      <c r="J787" t="s">
        <v>35</v>
      </c>
      <c r="K787">
        <v>0</v>
      </c>
      <c r="L787">
        <v>27</v>
      </c>
      <c r="M787" t="s">
        <v>21</v>
      </c>
      <c r="N787" t="s">
        <v>59</v>
      </c>
    </row>
    <row r="788" spans="1:14" x14ac:dyDescent="0.3">
      <c r="A788">
        <v>14870479</v>
      </c>
      <c r="B788" t="s">
        <v>856</v>
      </c>
      <c r="C788" t="s">
        <v>31</v>
      </c>
      <c r="D788" s="1">
        <v>45419</v>
      </c>
      <c r="E788">
        <v>1762</v>
      </c>
      <c r="F788" t="s">
        <v>61</v>
      </c>
      <c r="G788" t="s">
        <v>25</v>
      </c>
      <c r="H788" t="s">
        <v>18</v>
      </c>
      <c r="I788" t="s">
        <v>34</v>
      </c>
      <c r="J788" t="s">
        <v>85</v>
      </c>
      <c r="K788">
        <v>1</v>
      </c>
      <c r="L788">
        <v>20</v>
      </c>
      <c r="M788" t="s">
        <v>42</v>
      </c>
      <c r="N788" t="s">
        <v>59</v>
      </c>
    </row>
    <row r="789" spans="1:14" x14ac:dyDescent="0.3">
      <c r="A789">
        <v>45380272</v>
      </c>
      <c r="B789" t="s">
        <v>857</v>
      </c>
      <c r="C789" t="s">
        <v>75</v>
      </c>
      <c r="D789" s="1">
        <v>45517</v>
      </c>
      <c r="E789">
        <v>16089</v>
      </c>
      <c r="F789" t="s">
        <v>39</v>
      </c>
      <c r="G789" t="s">
        <v>17</v>
      </c>
      <c r="H789" t="s">
        <v>56</v>
      </c>
      <c r="I789" t="s">
        <v>72</v>
      </c>
      <c r="J789" t="s">
        <v>57</v>
      </c>
      <c r="K789">
        <v>1</v>
      </c>
      <c r="L789">
        <v>19</v>
      </c>
      <c r="M789" t="s">
        <v>65</v>
      </c>
      <c r="N789" t="s">
        <v>46</v>
      </c>
    </row>
    <row r="790" spans="1:14" x14ac:dyDescent="0.3">
      <c r="A790">
        <v>18887213</v>
      </c>
      <c r="B790" t="s">
        <v>858</v>
      </c>
      <c r="C790" t="s">
        <v>77</v>
      </c>
      <c r="D790" s="1">
        <v>45407</v>
      </c>
      <c r="E790">
        <v>10891</v>
      </c>
      <c r="F790" t="s">
        <v>39</v>
      </c>
      <c r="G790" t="s">
        <v>17</v>
      </c>
      <c r="H790" t="s">
        <v>33</v>
      </c>
      <c r="I790" t="s">
        <v>19</v>
      </c>
      <c r="J790" t="s">
        <v>85</v>
      </c>
      <c r="K790">
        <v>0</v>
      </c>
      <c r="L790">
        <v>16</v>
      </c>
      <c r="M790" t="s">
        <v>65</v>
      </c>
      <c r="N790" t="s">
        <v>36</v>
      </c>
    </row>
    <row r="791" spans="1:14" x14ac:dyDescent="0.3">
      <c r="A791">
        <v>46325671</v>
      </c>
      <c r="B791" t="s">
        <v>859</v>
      </c>
      <c r="C791" t="s">
        <v>38</v>
      </c>
      <c r="D791" s="1">
        <v>45600</v>
      </c>
      <c r="E791">
        <v>20624</v>
      </c>
      <c r="F791" t="s">
        <v>16</v>
      </c>
      <c r="G791" t="s">
        <v>32</v>
      </c>
      <c r="H791" t="s">
        <v>103</v>
      </c>
      <c r="I791" t="s">
        <v>19</v>
      </c>
      <c r="J791" t="s">
        <v>68</v>
      </c>
      <c r="K791">
        <v>0</v>
      </c>
      <c r="L791">
        <v>70</v>
      </c>
      <c r="M791" t="s">
        <v>29</v>
      </c>
      <c r="N791" t="s">
        <v>87</v>
      </c>
    </row>
    <row r="792" spans="1:14" x14ac:dyDescent="0.3">
      <c r="A792">
        <v>94879573</v>
      </c>
      <c r="B792" t="s">
        <v>860</v>
      </c>
      <c r="C792" t="s">
        <v>75</v>
      </c>
      <c r="D792" s="1">
        <v>45277</v>
      </c>
      <c r="E792">
        <v>8454</v>
      </c>
      <c r="F792" t="s">
        <v>50</v>
      </c>
      <c r="G792" t="s">
        <v>32</v>
      </c>
      <c r="H792" t="s">
        <v>33</v>
      </c>
      <c r="I792" t="s">
        <v>34</v>
      </c>
      <c r="J792" t="s">
        <v>52</v>
      </c>
      <c r="K792">
        <v>0</v>
      </c>
      <c r="L792">
        <v>62</v>
      </c>
      <c r="M792" t="s">
        <v>65</v>
      </c>
      <c r="N792" t="s">
        <v>22</v>
      </c>
    </row>
    <row r="793" spans="1:14" x14ac:dyDescent="0.3">
      <c r="A793">
        <v>73400497</v>
      </c>
      <c r="B793" t="s">
        <v>861</v>
      </c>
      <c r="C793" t="s">
        <v>54</v>
      </c>
      <c r="D793" s="1">
        <v>45418</v>
      </c>
      <c r="E793">
        <v>18321</v>
      </c>
      <c r="F793" t="s">
        <v>16</v>
      </c>
      <c r="G793" t="s">
        <v>32</v>
      </c>
      <c r="H793" t="s">
        <v>46</v>
      </c>
      <c r="I793" t="s">
        <v>34</v>
      </c>
      <c r="J793" t="s">
        <v>35</v>
      </c>
      <c r="K793">
        <v>0</v>
      </c>
      <c r="L793">
        <v>52</v>
      </c>
      <c r="M793" t="s">
        <v>42</v>
      </c>
      <c r="N793" t="s">
        <v>89</v>
      </c>
    </row>
    <row r="794" spans="1:14" x14ac:dyDescent="0.3">
      <c r="A794">
        <v>57496079</v>
      </c>
      <c r="B794" t="s">
        <v>862</v>
      </c>
      <c r="C794" t="s">
        <v>38</v>
      </c>
      <c r="D794" s="1">
        <v>45277</v>
      </c>
      <c r="E794">
        <v>10793</v>
      </c>
      <c r="F794" t="s">
        <v>39</v>
      </c>
      <c r="G794" t="s">
        <v>25</v>
      </c>
      <c r="H794" t="s">
        <v>103</v>
      </c>
      <c r="I794" t="s">
        <v>19</v>
      </c>
      <c r="J794" t="s">
        <v>20</v>
      </c>
      <c r="K794">
        <v>0</v>
      </c>
      <c r="L794">
        <v>92</v>
      </c>
      <c r="M794" t="s">
        <v>47</v>
      </c>
      <c r="N794" t="s">
        <v>46</v>
      </c>
    </row>
    <row r="795" spans="1:14" x14ac:dyDescent="0.3">
      <c r="A795">
        <v>40029636</v>
      </c>
      <c r="B795" t="s">
        <v>863</v>
      </c>
      <c r="C795" t="s">
        <v>45</v>
      </c>
      <c r="D795" s="1">
        <v>45299</v>
      </c>
      <c r="E795">
        <v>10401</v>
      </c>
      <c r="F795" t="s">
        <v>61</v>
      </c>
      <c r="G795" t="s">
        <v>55</v>
      </c>
      <c r="H795" t="s">
        <v>62</v>
      </c>
      <c r="I795" t="s">
        <v>34</v>
      </c>
      <c r="J795" t="s">
        <v>20</v>
      </c>
      <c r="K795">
        <v>1</v>
      </c>
      <c r="L795">
        <v>49</v>
      </c>
      <c r="M795" t="s">
        <v>21</v>
      </c>
      <c r="N795" t="s">
        <v>63</v>
      </c>
    </row>
    <row r="796" spans="1:14" x14ac:dyDescent="0.3">
      <c r="A796">
        <v>82160957</v>
      </c>
      <c r="B796" t="s">
        <v>864</v>
      </c>
      <c r="C796" t="s">
        <v>24</v>
      </c>
      <c r="D796" s="1">
        <v>45614</v>
      </c>
      <c r="E796">
        <v>10775</v>
      </c>
      <c r="F796" t="s">
        <v>39</v>
      </c>
      <c r="G796" t="s">
        <v>17</v>
      </c>
      <c r="H796" t="s">
        <v>62</v>
      </c>
      <c r="I796" t="s">
        <v>19</v>
      </c>
      <c r="J796" t="s">
        <v>35</v>
      </c>
      <c r="K796">
        <v>0</v>
      </c>
      <c r="L796">
        <v>65</v>
      </c>
      <c r="M796" t="s">
        <v>21</v>
      </c>
      <c r="N796" t="s">
        <v>36</v>
      </c>
    </row>
    <row r="797" spans="1:14" x14ac:dyDescent="0.3">
      <c r="A797">
        <v>76793921</v>
      </c>
      <c r="B797" t="s">
        <v>865</v>
      </c>
      <c r="C797" t="s">
        <v>38</v>
      </c>
      <c r="D797" s="1">
        <v>45309</v>
      </c>
      <c r="E797">
        <v>8316</v>
      </c>
      <c r="F797" t="s">
        <v>61</v>
      </c>
      <c r="G797" t="s">
        <v>32</v>
      </c>
      <c r="H797" t="s">
        <v>81</v>
      </c>
      <c r="I797" t="s">
        <v>19</v>
      </c>
      <c r="J797" t="s">
        <v>28</v>
      </c>
      <c r="K797">
        <v>0</v>
      </c>
      <c r="L797">
        <v>10</v>
      </c>
      <c r="M797" t="s">
        <v>58</v>
      </c>
      <c r="N797" t="s">
        <v>59</v>
      </c>
    </row>
    <row r="798" spans="1:14" x14ac:dyDescent="0.3">
      <c r="A798">
        <v>19279621</v>
      </c>
      <c r="B798" t="s">
        <v>866</v>
      </c>
      <c r="C798" t="s">
        <v>24</v>
      </c>
      <c r="D798" s="1">
        <v>45461</v>
      </c>
      <c r="E798">
        <v>15110</v>
      </c>
      <c r="F798" t="s">
        <v>39</v>
      </c>
      <c r="G798" t="s">
        <v>25</v>
      </c>
      <c r="H798" t="s">
        <v>81</v>
      </c>
      <c r="I798" t="s">
        <v>34</v>
      </c>
      <c r="J798" t="s">
        <v>68</v>
      </c>
      <c r="K798">
        <v>0</v>
      </c>
      <c r="L798">
        <v>26</v>
      </c>
      <c r="M798" t="s">
        <v>58</v>
      </c>
      <c r="N798" t="s">
        <v>87</v>
      </c>
    </row>
    <row r="799" spans="1:14" x14ac:dyDescent="0.3">
      <c r="A799">
        <v>50816687</v>
      </c>
      <c r="B799" t="s">
        <v>867</v>
      </c>
      <c r="C799" t="s">
        <v>15</v>
      </c>
      <c r="D799" s="1">
        <v>45528</v>
      </c>
      <c r="E799">
        <v>8801</v>
      </c>
      <c r="F799" t="s">
        <v>39</v>
      </c>
      <c r="G799" t="s">
        <v>32</v>
      </c>
      <c r="H799" t="s">
        <v>51</v>
      </c>
      <c r="I799" t="s">
        <v>27</v>
      </c>
      <c r="J799" t="s">
        <v>79</v>
      </c>
      <c r="K799">
        <v>0</v>
      </c>
      <c r="L799">
        <v>69</v>
      </c>
      <c r="M799" t="s">
        <v>65</v>
      </c>
      <c r="N799" t="s">
        <v>22</v>
      </c>
    </row>
    <row r="800" spans="1:14" x14ac:dyDescent="0.3">
      <c r="A800">
        <v>31882664</v>
      </c>
      <c r="B800" t="s">
        <v>868</v>
      </c>
      <c r="C800" t="s">
        <v>75</v>
      </c>
      <c r="D800" s="1">
        <v>45364</v>
      </c>
      <c r="E800">
        <v>23792</v>
      </c>
      <c r="F800" t="s">
        <v>50</v>
      </c>
      <c r="G800" t="s">
        <v>32</v>
      </c>
      <c r="H800" t="s">
        <v>40</v>
      </c>
      <c r="I800" t="s">
        <v>19</v>
      </c>
      <c r="J800" t="s">
        <v>57</v>
      </c>
      <c r="K800">
        <v>0</v>
      </c>
      <c r="L800">
        <v>10</v>
      </c>
      <c r="M800" t="s">
        <v>29</v>
      </c>
      <c r="N800" t="s">
        <v>73</v>
      </c>
    </row>
    <row r="801" spans="1:14" x14ac:dyDescent="0.3">
      <c r="A801">
        <v>29671694</v>
      </c>
      <c r="B801" t="s">
        <v>869</v>
      </c>
      <c r="C801" t="s">
        <v>54</v>
      </c>
      <c r="D801" s="1">
        <v>45354</v>
      </c>
      <c r="E801">
        <v>12186</v>
      </c>
      <c r="F801" t="s">
        <v>39</v>
      </c>
      <c r="G801" t="s">
        <v>17</v>
      </c>
      <c r="H801" t="s">
        <v>26</v>
      </c>
      <c r="I801" t="s">
        <v>34</v>
      </c>
      <c r="J801" t="s">
        <v>68</v>
      </c>
      <c r="K801">
        <v>0</v>
      </c>
      <c r="L801">
        <v>12</v>
      </c>
      <c r="M801" t="s">
        <v>58</v>
      </c>
      <c r="N801" t="s">
        <v>36</v>
      </c>
    </row>
    <row r="802" spans="1:14" x14ac:dyDescent="0.3">
      <c r="A802">
        <v>58675429</v>
      </c>
      <c r="B802" t="s">
        <v>870</v>
      </c>
      <c r="C802" t="s">
        <v>77</v>
      </c>
      <c r="D802" s="1">
        <v>45398</v>
      </c>
      <c r="E802">
        <v>7593</v>
      </c>
      <c r="F802" t="s">
        <v>39</v>
      </c>
      <c r="G802" t="s">
        <v>32</v>
      </c>
      <c r="H802" t="s">
        <v>51</v>
      </c>
      <c r="I802" t="s">
        <v>19</v>
      </c>
      <c r="J802" t="s">
        <v>85</v>
      </c>
      <c r="K802">
        <v>0</v>
      </c>
      <c r="L802">
        <v>72</v>
      </c>
      <c r="M802" t="s">
        <v>42</v>
      </c>
      <c r="N802" t="s">
        <v>59</v>
      </c>
    </row>
    <row r="803" spans="1:14" x14ac:dyDescent="0.3">
      <c r="A803">
        <v>31587238</v>
      </c>
      <c r="B803" t="s">
        <v>871</v>
      </c>
      <c r="C803" t="s">
        <v>54</v>
      </c>
      <c r="D803" s="1">
        <v>45326</v>
      </c>
      <c r="E803">
        <v>10363</v>
      </c>
      <c r="F803" t="s">
        <v>50</v>
      </c>
      <c r="G803" t="s">
        <v>32</v>
      </c>
      <c r="H803" t="s">
        <v>46</v>
      </c>
      <c r="I803" t="s">
        <v>27</v>
      </c>
      <c r="J803" t="s">
        <v>35</v>
      </c>
      <c r="K803">
        <v>0</v>
      </c>
      <c r="L803">
        <v>52</v>
      </c>
      <c r="M803" t="s">
        <v>47</v>
      </c>
      <c r="N803" t="s">
        <v>73</v>
      </c>
    </row>
    <row r="804" spans="1:14" x14ac:dyDescent="0.3">
      <c r="A804">
        <v>22121504</v>
      </c>
      <c r="B804" t="s">
        <v>872</v>
      </c>
      <c r="C804" t="s">
        <v>77</v>
      </c>
      <c r="D804" s="1">
        <v>45461</v>
      </c>
      <c r="E804">
        <v>21621</v>
      </c>
      <c r="F804" t="s">
        <v>39</v>
      </c>
      <c r="G804" t="s">
        <v>55</v>
      </c>
      <c r="H804" t="s">
        <v>103</v>
      </c>
      <c r="I804" t="s">
        <v>27</v>
      </c>
      <c r="J804" t="s">
        <v>52</v>
      </c>
      <c r="K804">
        <v>1</v>
      </c>
      <c r="L804">
        <v>60</v>
      </c>
      <c r="M804" t="s">
        <v>21</v>
      </c>
      <c r="N804" t="s">
        <v>63</v>
      </c>
    </row>
    <row r="805" spans="1:14" x14ac:dyDescent="0.3">
      <c r="A805">
        <v>81338162</v>
      </c>
      <c r="B805" t="s">
        <v>873</v>
      </c>
      <c r="C805" t="s">
        <v>45</v>
      </c>
      <c r="D805" s="1">
        <v>45628</v>
      </c>
      <c r="E805">
        <v>18578</v>
      </c>
      <c r="F805" t="s">
        <v>50</v>
      </c>
      <c r="G805" t="s">
        <v>71</v>
      </c>
      <c r="H805" t="s">
        <v>46</v>
      </c>
      <c r="I805" t="s">
        <v>27</v>
      </c>
      <c r="J805" t="s">
        <v>28</v>
      </c>
      <c r="K805">
        <v>1</v>
      </c>
      <c r="L805">
        <v>63</v>
      </c>
      <c r="M805" t="s">
        <v>21</v>
      </c>
      <c r="N805" t="s">
        <v>63</v>
      </c>
    </row>
    <row r="806" spans="1:14" x14ac:dyDescent="0.3">
      <c r="A806">
        <v>73425853</v>
      </c>
      <c r="B806" t="s">
        <v>874</v>
      </c>
      <c r="C806" t="s">
        <v>15</v>
      </c>
      <c r="D806" s="1">
        <v>45406</v>
      </c>
      <c r="E806">
        <v>11694</v>
      </c>
      <c r="F806" t="s">
        <v>16</v>
      </c>
      <c r="G806" t="s">
        <v>25</v>
      </c>
      <c r="H806" t="s">
        <v>103</v>
      </c>
      <c r="I806" t="s">
        <v>72</v>
      </c>
      <c r="J806" t="s">
        <v>35</v>
      </c>
      <c r="K806">
        <v>1</v>
      </c>
      <c r="L806">
        <v>55</v>
      </c>
      <c r="M806" t="s">
        <v>65</v>
      </c>
      <c r="N806" t="s">
        <v>43</v>
      </c>
    </row>
    <row r="807" spans="1:14" x14ac:dyDescent="0.3">
      <c r="A807">
        <v>21714950</v>
      </c>
      <c r="B807" t="s">
        <v>875</v>
      </c>
      <c r="C807" t="s">
        <v>75</v>
      </c>
      <c r="D807" s="1">
        <v>45533</v>
      </c>
      <c r="E807">
        <v>23582</v>
      </c>
      <c r="F807" t="s">
        <v>61</v>
      </c>
      <c r="G807" t="s">
        <v>17</v>
      </c>
      <c r="H807" t="s">
        <v>40</v>
      </c>
      <c r="I807" t="s">
        <v>72</v>
      </c>
      <c r="J807" t="s">
        <v>79</v>
      </c>
      <c r="K807">
        <v>0</v>
      </c>
      <c r="L807">
        <v>85</v>
      </c>
      <c r="M807" t="s">
        <v>47</v>
      </c>
      <c r="N807" t="s">
        <v>36</v>
      </c>
    </row>
    <row r="808" spans="1:14" x14ac:dyDescent="0.3">
      <c r="A808">
        <v>52521022</v>
      </c>
      <c r="B808" t="s">
        <v>876</v>
      </c>
      <c r="C808" t="s">
        <v>31</v>
      </c>
      <c r="D808" s="1">
        <v>45581</v>
      </c>
      <c r="E808">
        <v>8236</v>
      </c>
      <c r="F808" t="s">
        <v>61</v>
      </c>
      <c r="G808" t="s">
        <v>55</v>
      </c>
      <c r="H808" t="s">
        <v>18</v>
      </c>
      <c r="I808" t="s">
        <v>72</v>
      </c>
      <c r="J808" t="s">
        <v>20</v>
      </c>
      <c r="K808">
        <v>0</v>
      </c>
      <c r="L808">
        <v>92</v>
      </c>
      <c r="M808" t="s">
        <v>29</v>
      </c>
      <c r="N808" t="s">
        <v>22</v>
      </c>
    </row>
    <row r="809" spans="1:14" x14ac:dyDescent="0.3">
      <c r="A809">
        <v>58075513</v>
      </c>
      <c r="B809" t="s">
        <v>877</v>
      </c>
      <c r="C809" t="s">
        <v>77</v>
      </c>
      <c r="D809" s="1">
        <v>45489</v>
      </c>
      <c r="E809">
        <v>16401</v>
      </c>
      <c r="F809" t="s">
        <v>16</v>
      </c>
      <c r="G809" t="s">
        <v>17</v>
      </c>
      <c r="H809" t="s">
        <v>18</v>
      </c>
      <c r="I809" t="s">
        <v>27</v>
      </c>
      <c r="J809" t="s">
        <v>57</v>
      </c>
      <c r="K809">
        <v>0</v>
      </c>
      <c r="L809">
        <v>79</v>
      </c>
      <c r="M809" t="s">
        <v>47</v>
      </c>
      <c r="N809" t="s">
        <v>43</v>
      </c>
    </row>
    <row r="810" spans="1:14" x14ac:dyDescent="0.3">
      <c r="A810">
        <v>64858252</v>
      </c>
      <c r="B810" t="s">
        <v>878</v>
      </c>
      <c r="C810" t="s">
        <v>15</v>
      </c>
      <c r="D810" s="1">
        <v>45328</v>
      </c>
      <c r="E810">
        <v>15285</v>
      </c>
      <c r="F810" t="s">
        <v>39</v>
      </c>
      <c r="G810" t="s">
        <v>32</v>
      </c>
      <c r="H810" t="s">
        <v>81</v>
      </c>
      <c r="I810" t="s">
        <v>34</v>
      </c>
      <c r="J810" t="s">
        <v>52</v>
      </c>
      <c r="K810">
        <v>0</v>
      </c>
      <c r="L810">
        <v>12</v>
      </c>
      <c r="M810" t="s">
        <v>42</v>
      </c>
      <c r="N810" t="s">
        <v>46</v>
      </c>
    </row>
    <row r="811" spans="1:14" x14ac:dyDescent="0.3">
      <c r="A811">
        <v>46221163</v>
      </c>
      <c r="B811" t="s">
        <v>879</v>
      </c>
      <c r="C811" t="s">
        <v>38</v>
      </c>
      <c r="D811" s="1">
        <v>45400</v>
      </c>
      <c r="E811">
        <v>3833</v>
      </c>
      <c r="F811" t="s">
        <v>39</v>
      </c>
      <c r="G811" t="s">
        <v>25</v>
      </c>
      <c r="H811" t="s">
        <v>18</v>
      </c>
      <c r="I811" t="s">
        <v>19</v>
      </c>
      <c r="J811" t="s">
        <v>85</v>
      </c>
      <c r="K811">
        <v>1</v>
      </c>
      <c r="L811">
        <v>92</v>
      </c>
      <c r="M811" t="s">
        <v>47</v>
      </c>
      <c r="N811" t="s">
        <v>46</v>
      </c>
    </row>
    <row r="812" spans="1:14" x14ac:dyDescent="0.3">
      <c r="A812">
        <v>57955001</v>
      </c>
      <c r="B812" t="s">
        <v>880</v>
      </c>
      <c r="C812" t="s">
        <v>24</v>
      </c>
      <c r="D812" s="1">
        <v>45612</v>
      </c>
      <c r="E812">
        <v>5666</v>
      </c>
      <c r="F812" t="s">
        <v>50</v>
      </c>
      <c r="G812" t="s">
        <v>71</v>
      </c>
      <c r="H812" t="s">
        <v>62</v>
      </c>
      <c r="I812" t="s">
        <v>72</v>
      </c>
      <c r="J812" t="s">
        <v>68</v>
      </c>
      <c r="K812">
        <v>1</v>
      </c>
      <c r="L812">
        <v>38</v>
      </c>
      <c r="M812" t="s">
        <v>42</v>
      </c>
      <c r="N812" t="s">
        <v>22</v>
      </c>
    </row>
    <row r="813" spans="1:14" x14ac:dyDescent="0.3">
      <c r="A813">
        <v>97454164</v>
      </c>
      <c r="B813" t="s">
        <v>881</v>
      </c>
      <c r="C813" t="s">
        <v>45</v>
      </c>
      <c r="D813" s="1">
        <v>45292</v>
      </c>
      <c r="E813">
        <v>22718</v>
      </c>
      <c r="F813" t="s">
        <v>50</v>
      </c>
      <c r="G813" t="s">
        <v>71</v>
      </c>
      <c r="H813" t="s">
        <v>62</v>
      </c>
      <c r="I813" t="s">
        <v>27</v>
      </c>
      <c r="J813" t="s">
        <v>28</v>
      </c>
      <c r="K813">
        <v>0</v>
      </c>
      <c r="L813">
        <v>80</v>
      </c>
      <c r="M813" t="s">
        <v>29</v>
      </c>
      <c r="N813" t="s">
        <v>48</v>
      </c>
    </row>
    <row r="814" spans="1:14" x14ac:dyDescent="0.3">
      <c r="A814">
        <v>78136034</v>
      </c>
      <c r="B814" t="s">
        <v>882</v>
      </c>
      <c r="C814" t="s">
        <v>38</v>
      </c>
      <c r="D814" s="1">
        <v>45319</v>
      </c>
      <c r="E814">
        <v>17021</v>
      </c>
      <c r="F814" t="s">
        <v>61</v>
      </c>
      <c r="G814" t="s">
        <v>17</v>
      </c>
      <c r="H814" t="s">
        <v>103</v>
      </c>
      <c r="I814" t="s">
        <v>72</v>
      </c>
      <c r="J814" t="s">
        <v>52</v>
      </c>
      <c r="K814">
        <v>1</v>
      </c>
      <c r="L814">
        <v>24</v>
      </c>
      <c r="M814" t="s">
        <v>65</v>
      </c>
      <c r="N814" t="s">
        <v>59</v>
      </c>
    </row>
    <row r="815" spans="1:14" x14ac:dyDescent="0.3">
      <c r="A815">
        <v>98973711</v>
      </c>
      <c r="B815" t="s">
        <v>883</v>
      </c>
      <c r="C815" t="s">
        <v>101</v>
      </c>
      <c r="D815" s="1">
        <v>45603</v>
      </c>
      <c r="E815">
        <v>12577</v>
      </c>
      <c r="F815" t="s">
        <v>16</v>
      </c>
      <c r="G815" t="s">
        <v>71</v>
      </c>
      <c r="H815" t="s">
        <v>40</v>
      </c>
      <c r="I815" t="s">
        <v>72</v>
      </c>
      <c r="J815" t="s">
        <v>79</v>
      </c>
      <c r="K815">
        <v>1</v>
      </c>
      <c r="L815">
        <v>74</v>
      </c>
      <c r="M815" t="s">
        <v>65</v>
      </c>
      <c r="N815" t="s">
        <v>43</v>
      </c>
    </row>
    <row r="816" spans="1:14" x14ac:dyDescent="0.3">
      <c r="A816">
        <v>92200801</v>
      </c>
      <c r="B816" t="s">
        <v>884</v>
      </c>
      <c r="C816" t="s">
        <v>31</v>
      </c>
      <c r="D816" s="1">
        <v>45316</v>
      </c>
      <c r="E816">
        <v>4937</v>
      </c>
      <c r="F816" t="s">
        <v>39</v>
      </c>
      <c r="G816" t="s">
        <v>71</v>
      </c>
      <c r="H816" t="s">
        <v>81</v>
      </c>
      <c r="I816" t="s">
        <v>72</v>
      </c>
      <c r="J816" t="s">
        <v>35</v>
      </c>
      <c r="K816">
        <v>0</v>
      </c>
      <c r="L816">
        <v>65</v>
      </c>
      <c r="M816" t="s">
        <v>47</v>
      </c>
      <c r="N816" t="s">
        <v>48</v>
      </c>
    </row>
    <row r="817" spans="1:14" x14ac:dyDescent="0.3">
      <c r="A817">
        <v>78545342</v>
      </c>
      <c r="B817" t="s">
        <v>885</v>
      </c>
      <c r="C817" t="s">
        <v>45</v>
      </c>
      <c r="D817" s="1">
        <v>45354</v>
      </c>
      <c r="E817">
        <v>14630</v>
      </c>
      <c r="F817" t="s">
        <v>16</v>
      </c>
      <c r="G817" t="s">
        <v>25</v>
      </c>
      <c r="H817" t="s">
        <v>103</v>
      </c>
      <c r="I817" t="s">
        <v>19</v>
      </c>
      <c r="J817" t="s">
        <v>68</v>
      </c>
      <c r="K817">
        <v>1</v>
      </c>
      <c r="L817">
        <v>50</v>
      </c>
      <c r="M817" t="s">
        <v>65</v>
      </c>
      <c r="N817" t="s">
        <v>63</v>
      </c>
    </row>
    <row r="818" spans="1:14" x14ac:dyDescent="0.3">
      <c r="A818">
        <v>97841329</v>
      </c>
      <c r="B818" t="s">
        <v>886</v>
      </c>
      <c r="C818" t="s">
        <v>15</v>
      </c>
      <c r="D818" s="1">
        <v>45283</v>
      </c>
      <c r="E818">
        <v>4451</v>
      </c>
      <c r="F818" t="s">
        <v>16</v>
      </c>
      <c r="G818" t="s">
        <v>55</v>
      </c>
      <c r="H818" t="s">
        <v>103</v>
      </c>
      <c r="I818" t="s">
        <v>34</v>
      </c>
      <c r="J818" t="s">
        <v>20</v>
      </c>
      <c r="K818">
        <v>0</v>
      </c>
      <c r="L818">
        <v>23</v>
      </c>
      <c r="M818" t="s">
        <v>29</v>
      </c>
      <c r="N818" t="s">
        <v>43</v>
      </c>
    </row>
    <row r="819" spans="1:14" x14ac:dyDescent="0.3">
      <c r="A819">
        <v>85377268</v>
      </c>
      <c r="B819" t="s">
        <v>887</v>
      </c>
      <c r="C819" t="s">
        <v>75</v>
      </c>
      <c r="D819" s="1">
        <v>45519</v>
      </c>
      <c r="E819">
        <v>23206</v>
      </c>
      <c r="F819" t="s">
        <v>39</v>
      </c>
      <c r="G819" t="s">
        <v>32</v>
      </c>
      <c r="H819" t="s">
        <v>33</v>
      </c>
      <c r="I819" t="s">
        <v>27</v>
      </c>
      <c r="J819" t="s">
        <v>85</v>
      </c>
      <c r="K819">
        <v>0</v>
      </c>
      <c r="L819">
        <v>78</v>
      </c>
      <c r="M819" t="s">
        <v>47</v>
      </c>
      <c r="N819" t="s">
        <v>73</v>
      </c>
    </row>
    <row r="820" spans="1:14" x14ac:dyDescent="0.3">
      <c r="A820">
        <v>63355418</v>
      </c>
      <c r="B820" t="s">
        <v>888</v>
      </c>
      <c r="C820" t="s">
        <v>45</v>
      </c>
      <c r="D820" s="1">
        <v>45419</v>
      </c>
      <c r="E820">
        <v>7005</v>
      </c>
      <c r="F820" t="s">
        <v>39</v>
      </c>
      <c r="G820" t="s">
        <v>17</v>
      </c>
      <c r="H820" t="s">
        <v>40</v>
      </c>
      <c r="I820" t="s">
        <v>34</v>
      </c>
      <c r="J820" t="s">
        <v>85</v>
      </c>
      <c r="K820">
        <v>1</v>
      </c>
      <c r="L820">
        <v>13</v>
      </c>
      <c r="M820" t="s">
        <v>21</v>
      </c>
      <c r="N820" t="s">
        <v>48</v>
      </c>
    </row>
    <row r="821" spans="1:14" x14ac:dyDescent="0.3">
      <c r="A821">
        <v>57526517</v>
      </c>
      <c r="B821" t="s">
        <v>889</v>
      </c>
      <c r="C821" t="s">
        <v>45</v>
      </c>
      <c r="D821" s="1">
        <v>45577</v>
      </c>
      <c r="E821">
        <v>4469</v>
      </c>
      <c r="F821" t="s">
        <v>61</v>
      </c>
      <c r="G821" t="s">
        <v>25</v>
      </c>
      <c r="H821" t="s">
        <v>33</v>
      </c>
      <c r="I821" t="s">
        <v>34</v>
      </c>
      <c r="J821" t="s">
        <v>20</v>
      </c>
      <c r="K821">
        <v>1</v>
      </c>
      <c r="L821">
        <v>94</v>
      </c>
      <c r="M821" t="s">
        <v>47</v>
      </c>
      <c r="N821" t="s">
        <v>22</v>
      </c>
    </row>
    <row r="822" spans="1:14" x14ac:dyDescent="0.3">
      <c r="A822">
        <v>76740429</v>
      </c>
      <c r="B822" t="s">
        <v>890</v>
      </c>
      <c r="C822" t="s">
        <v>75</v>
      </c>
      <c r="D822" s="1">
        <v>45307</v>
      </c>
      <c r="E822">
        <v>18446</v>
      </c>
      <c r="F822" t="s">
        <v>39</v>
      </c>
      <c r="G822" t="s">
        <v>32</v>
      </c>
      <c r="H822" t="s">
        <v>56</v>
      </c>
      <c r="I822" t="s">
        <v>72</v>
      </c>
      <c r="J822" t="s">
        <v>79</v>
      </c>
      <c r="K822">
        <v>0</v>
      </c>
      <c r="L822">
        <v>25</v>
      </c>
      <c r="M822" t="s">
        <v>65</v>
      </c>
      <c r="N822" t="s">
        <v>43</v>
      </c>
    </row>
    <row r="823" spans="1:14" x14ac:dyDescent="0.3">
      <c r="A823">
        <v>65356976</v>
      </c>
      <c r="B823" t="s">
        <v>891</v>
      </c>
      <c r="C823" t="s">
        <v>77</v>
      </c>
      <c r="D823" s="1">
        <v>45528</v>
      </c>
      <c r="E823">
        <v>1577</v>
      </c>
      <c r="F823" t="s">
        <v>16</v>
      </c>
      <c r="G823" t="s">
        <v>32</v>
      </c>
      <c r="H823" t="s">
        <v>26</v>
      </c>
      <c r="I823" t="s">
        <v>19</v>
      </c>
      <c r="J823" t="s">
        <v>41</v>
      </c>
      <c r="K823">
        <v>1</v>
      </c>
      <c r="L823">
        <v>62</v>
      </c>
      <c r="M823" t="s">
        <v>65</v>
      </c>
      <c r="N823" t="s">
        <v>73</v>
      </c>
    </row>
    <row r="824" spans="1:14" x14ac:dyDescent="0.3">
      <c r="A824">
        <v>37186316</v>
      </c>
      <c r="B824" t="s">
        <v>892</v>
      </c>
      <c r="C824" t="s">
        <v>38</v>
      </c>
      <c r="D824" s="1">
        <v>45443</v>
      </c>
      <c r="E824">
        <v>23754</v>
      </c>
      <c r="F824" t="s">
        <v>39</v>
      </c>
      <c r="G824" t="s">
        <v>32</v>
      </c>
      <c r="H824" t="s">
        <v>81</v>
      </c>
      <c r="I824" t="s">
        <v>72</v>
      </c>
      <c r="J824" t="s">
        <v>20</v>
      </c>
      <c r="K824">
        <v>0</v>
      </c>
      <c r="L824">
        <v>65</v>
      </c>
      <c r="M824" t="s">
        <v>65</v>
      </c>
      <c r="N824" t="s">
        <v>43</v>
      </c>
    </row>
    <row r="825" spans="1:14" x14ac:dyDescent="0.3">
      <c r="A825">
        <v>68360977</v>
      </c>
      <c r="B825" t="s">
        <v>893</v>
      </c>
      <c r="C825" t="s">
        <v>38</v>
      </c>
      <c r="D825" s="1">
        <v>45444</v>
      </c>
      <c r="E825">
        <v>20636</v>
      </c>
      <c r="F825" t="s">
        <v>39</v>
      </c>
      <c r="G825" t="s">
        <v>25</v>
      </c>
      <c r="H825" t="s">
        <v>81</v>
      </c>
      <c r="I825" t="s">
        <v>19</v>
      </c>
      <c r="J825" t="s">
        <v>28</v>
      </c>
      <c r="K825">
        <v>0</v>
      </c>
      <c r="L825">
        <v>33</v>
      </c>
      <c r="M825" t="s">
        <v>29</v>
      </c>
      <c r="N825" t="s">
        <v>87</v>
      </c>
    </row>
    <row r="826" spans="1:14" x14ac:dyDescent="0.3">
      <c r="A826">
        <v>62089973</v>
      </c>
      <c r="B826" t="s">
        <v>894</v>
      </c>
      <c r="C826" t="s">
        <v>45</v>
      </c>
      <c r="D826" s="1">
        <v>45471</v>
      </c>
      <c r="E826">
        <v>4324</v>
      </c>
      <c r="F826" t="s">
        <v>61</v>
      </c>
      <c r="G826" t="s">
        <v>55</v>
      </c>
      <c r="H826" t="s">
        <v>103</v>
      </c>
      <c r="I826" t="s">
        <v>34</v>
      </c>
      <c r="J826" t="s">
        <v>35</v>
      </c>
      <c r="K826">
        <v>1</v>
      </c>
      <c r="L826">
        <v>70</v>
      </c>
      <c r="M826" t="s">
        <v>58</v>
      </c>
      <c r="N826" t="s">
        <v>48</v>
      </c>
    </row>
    <row r="827" spans="1:14" x14ac:dyDescent="0.3">
      <c r="A827">
        <v>63117028</v>
      </c>
      <c r="B827" t="s">
        <v>895</v>
      </c>
      <c r="C827" t="s">
        <v>31</v>
      </c>
      <c r="D827" s="1">
        <v>45566</v>
      </c>
      <c r="E827">
        <v>4431</v>
      </c>
      <c r="F827" t="s">
        <v>39</v>
      </c>
      <c r="G827" t="s">
        <v>71</v>
      </c>
      <c r="H827" t="s">
        <v>40</v>
      </c>
      <c r="I827" t="s">
        <v>34</v>
      </c>
      <c r="J827" t="s">
        <v>85</v>
      </c>
      <c r="K827">
        <v>0</v>
      </c>
      <c r="L827">
        <v>57</v>
      </c>
      <c r="M827" t="s">
        <v>65</v>
      </c>
      <c r="N827" t="s">
        <v>22</v>
      </c>
    </row>
    <row r="828" spans="1:14" x14ac:dyDescent="0.3">
      <c r="A828">
        <v>95672041</v>
      </c>
      <c r="B828" t="s">
        <v>896</v>
      </c>
      <c r="C828" t="s">
        <v>15</v>
      </c>
      <c r="D828" s="1">
        <v>45357</v>
      </c>
      <c r="E828">
        <v>8508</v>
      </c>
      <c r="F828" t="s">
        <v>16</v>
      </c>
      <c r="G828" t="s">
        <v>25</v>
      </c>
      <c r="H828" t="s">
        <v>40</v>
      </c>
      <c r="I828" t="s">
        <v>72</v>
      </c>
      <c r="J828" t="s">
        <v>20</v>
      </c>
      <c r="K828">
        <v>0</v>
      </c>
      <c r="L828">
        <v>76</v>
      </c>
      <c r="M828" t="s">
        <v>47</v>
      </c>
      <c r="N828" t="s">
        <v>36</v>
      </c>
    </row>
    <row r="829" spans="1:14" x14ac:dyDescent="0.3">
      <c r="A829">
        <v>39138843</v>
      </c>
      <c r="B829" t="s">
        <v>897</v>
      </c>
      <c r="C829" t="s">
        <v>38</v>
      </c>
      <c r="D829" s="1">
        <v>45445</v>
      </c>
      <c r="E829">
        <v>10544</v>
      </c>
      <c r="F829" t="s">
        <v>61</v>
      </c>
      <c r="G829" t="s">
        <v>71</v>
      </c>
      <c r="H829" t="s">
        <v>18</v>
      </c>
      <c r="I829" t="s">
        <v>19</v>
      </c>
      <c r="J829" t="s">
        <v>57</v>
      </c>
      <c r="K829">
        <v>0</v>
      </c>
      <c r="L829">
        <v>14</v>
      </c>
      <c r="M829" t="s">
        <v>42</v>
      </c>
      <c r="N829" t="s">
        <v>73</v>
      </c>
    </row>
    <row r="830" spans="1:14" x14ac:dyDescent="0.3">
      <c r="A830">
        <v>24571755</v>
      </c>
      <c r="B830" t="s">
        <v>898</v>
      </c>
      <c r="C830" t="s">
        <v>15</v>
      </c>
      <c r="D830" s="1">
        <v>45289</v>
      </c>
      <c r="E830">
        <v>7396</v>
      </c>
      <c r="F830" t="s">
        <v>16</v>
      </c>
      <c r="G830" t="s">
        <v>32</v>
      </c>
      <c r="H830" t="s">
        <v>103</v>
      </c>
      <c r="I830" t="s">
        <v>27</v>
      </c>
      <c r="J830" t="s">
        <v>20</v>
      </c>
      <c r="K830">
        <v>1</v>
      </c>
      <c r="L830">
        <v>89</v>
      </c>
      <c r="M830" t="s">
        <v>47</v>
      </c>
      <c r="N830" t="s">
        <v>89</v>
      </c>
    </row>
    <row r="831" spans="1:14" x14ac:dyDescent="0.3">
      <c r="A831">
        <v>94418942</v>
      </c>
      <c r="B831" t="s">
        <v>899</v>
      </c>
      <c r="C831" t="s">
        <v>70</v>
      </c>
      <c r="D831" s="1">
        <v>45324</v>
      </c>
      <c r="E831">
        <v>3535</v>
      </c>
      <c r="F831" t="s">
        <v>61</v>
      </c>
      <c r="G831" t="s">
        <v>55</v>
      </c>
      <c r="H831" t="s">
        <v>103</v>
      </c>
      <c r="I831" t="s">
        <v>19</v>
      </c>
      <c r="J831" t="s">
        <v>52</v>
      </c>
      <c r="K831">
        <v>1</v>
      </c>
      <c r="L831">
        <v>91</v>
      </c>
      <c r="M831" t="s">
        <v>58</v>
      </c>
      <c r="N831" t="s">
        <v>59</v>
      </c>
    </row>
    <row r="832" spans="1:14" x14ac:dyDescent="0.3">
      <c r="A832">
        <v>28811563</v>
      </c>
      <c r="B832" t="s">
        <v>900</v>
      </c>
      <c r="C832" t="s">
        <v>70</v>
      </c>
      <c r="D832" s="1">
        <v>45504</v>
      </c>
      <c r="E832">
        <v>10173</v>
      </c>
      <c r="F832" t="s">
        <v>39</v>
      </c>
      <c r="G832" t="s">
        <v>25</v>
      </c>
      <c r="H832" t="s">
        <v>56</v>
      </c>
      <c r="I832" t="s">
        <v>34</v>
      </c>
      <c r="J832" t="s">
        <v>85</v>
      </c>
      <c r="K832">
        <v>1</v>
      </c>
      <c r="L832">
        <v>82</v>
      </c>
      <c r="M832" t="s">
        <v>65</v>
      </c>
      <c r="N832" t="s">
        <v>73</v>
      </c>
    </row>
    <row r="833" spans="1:14" x14ac:dyDescent="0.3">
      <c r="A833">
        <v>77488384</v>
      </c>
      <c r="B833" t="s">
        <v>901</v>
      </c>
      <c r="C833" t="s">
        <v>24</v>
      </c>
      <c r="D833" s="1">
        <v>45387</v>
      </c>
      <c r="E833">
        <v>4198</v>
      </c>
      <c r="F833" t="s">
        <v>16</v>
      </c>
      <c r="G833" t="s">
        <v>71</v>
      </c>
      <c r="H833" t="s">
        <v>51</v>
      </c>
      <c r="I833" t="s">
        <v>72</v>
      </c>
      <c r="J833" t="s">
        <v>57</v>
      </c>
      <c r="K833">
        <v>0</v>
      </c>
      <c r="L833">
        <v>90</v>
      </c>
      <c r="M833" t="s">
        <v>65</v>
      </c>
      <c r="N833" t="s">
        <v>22</v>
      </c>
    </row>
    <row r="834" spans="1:14" x14ac:dyDescent="0.3">
      <c r="A834">
        <v>97861968</v>
      </c>
      <c r="B834" t="s">
        <v>902</v>
      </c>
      <c r="C834" t="s">
        <v>54</v>
      </c>
      <c r="D834" s="1">
        <v>45405</v>
      </c>
      <c r="E834">
        <v>22823</v>
      </c>
      <c r="F834" t="s">
        <v>39</v>
      </c>
      <c r="G834" t="s">
        <v>17</v>
      </c>
      <c r="H834" t="s">
        <v>81</v>
      </c>
      <c r="I834" t="s">
        <v>27</v>
      </c>
      <c r="J834" t="s">
        <v>41</v>
      </c>
      <c r="K834">
        <v>0</v>
      </c>
      <c r="L834">
        <v>23</v>
      </c>
      <c r="M834" t="s">
        <v>29</v>
      </c>
      <c r="N834" t="s">
        <v>89</v>
      </c>
    </row>
    <row r="835" spans="1:14" x14ac:dyDescent="0.3">
      <c r="A835">
        <v>22109498</v>
      </c>
      <c r="B835" t="s">
        <v>903</v>
      </c>
      <c r="C835" t="s">
        <v>24</v>
      </c>
      <c r="D835" s="1">
        <v>45371</v>
      </c>
      <c r="E835">
        <v>19176</v>
      </c>
      <c r="F835" t="s">
        <v>61</v>
      </c>
      <c r="G835" t="s">
        <v>17</v>
      </c>
      <c r="H835" t="s">
        <v>18</v>
      </c>
      <c r="I835" t="s">
        <v>27</v>
      </c>
      <c r="J835" t="s">
        <v>52</v>
      </c>
      <c r="K835">
        <v>0</v>
      </c>
      <c r="L835">
        <v>58</v>
      </c>
      <c r="M835" t="s">
        <v>58</v>
      </c>
      <c r="N835" t="s">
        <v>22</v>
      </c>
    </row>
    <row r="836" spans="1:14" x14ac:dyDescent="0.3">
      <c r="A836">
        <v>93430625</v>
      </c>
      <c r="B836" t="s">
        <v>904</v>
      </c>
      <c r="C836" t="s">
        <v>70</v>
      </c>
      <c r="D836" s="1">
        <v>45344</v>
      </c>
      <c r="E836">
        <v>12041</v>
      </c>
      <c r="F836" t="s">
        <v>61</v>
      </c>
      <c r="G836" t="s">
        <v>71</v>
      </c>
      <c r="H836" t="s">
        <v>62</v>
      </c>
      <c r="I836" t="s">
        <v>19</v>
      </c>
      <c r="J836" t="s">
        <v>35</v>
      </c>
      <c r="K836">
        <v>0</v>
      </c>
      <c r="L836">
        <v>15</v>
      </c>
      <c r="M836" t="s">
        <v>29</v>
      </c>
      <c r="N836" t="s">
        <v>48</v>
      </c>
    </row>
    <row r="837" spans="1:14" x14ac:dyDescent="0.3">
      <c r="A837">
        <v>67890089</v>
      </c>
      <c r="B837" t="s">
        <v>905</v>
      </c>
      <c r="C837" t="s">
        <v>45</v>
      </c>
      <c r="D837" s="1">
        <v>45472</v>
      </c>
      <c r="E837">
        <v>11619</v>
      </c>
      <c r="F837" t="s">
        <v>39</v>
      </c>
      <c r="G837" t="s">
        <v>71</v>
      </c>
      <c r="H837" t="s">
        <v>56</v>
      </c>
      <c r="I837" t="s">
        <v>27</v>
      </c>
      <c r="J837" t="s">
        <v>28</v>
      </c>
      <c r="K837">
        <v>1</v>
      </c>
      <c r="L837">
        <v>84</v>
      </c>
      <c r="M837" t="s">
        <v>29</v>
      </c>
      <c r="N837" t="s">
        <v>89</v>
      </c>
    </row>
    <row r="838" spans="1:14" x14ac:dyDescent="0.3">
      <c r="A838">
        <v>19790532</v>
      </c>
      <c r="B838" t="s">
        <v>906</v>
      </c>
      <c r="C838" t="s">
        <v>15</v>
      </c>
      <c r="D838" s="1">
        <v>45634</v>
      </c>
      <c r="E838">
        <v>16497</v>
      </c>
      <c r="F838" t="s">
        <v>50</v>
      </c>
      <c r="G838" t="s">
        <v>17</v>
      </c>
      <c r="H838" t="s">
        <v>40</v>
      </c>
      <c r="I838" t="s">
        <v>19</v>
      </c>
      <c r="J838" t="s">
        <v>35</v>
      </c>
      <c r="K838">
        <v>0</v>
      </c>
      <c r="L838">
        <v>80</v>
      </c>
      <c r="M838" t="s">
        <v>21</v>
      </c>
      <c r="N838" t="s">
        <v>48</v>
      </c>
    </row>
    <row r="839" spans="1:14" x14ac:dyDescent="0.3">
      <c r="A839">
        <v>22466907</v>
      </c>
      <c r="B839" t="s">
        <v>907</v>
      </c>
      <c r="C839" t="s">
        <v>24</v>
      </c>
      <c r="D839" s="1">
        <v>45500</v>
      </c>
      <c r="E839">
        <v>23643</v>
      </c>
      <c r="F839" t="s">
        <v>39</v>
      </c>
      <c r="G839" t="s">
        <v>71</v>
      </c>
      <c r="H839" t="s">
        <v>62</v>
      </c>
      <c r="I839" t="s">
        <v>34</v>
      </c>
      <c r="J839" t="s">
        <v>79</v>
      </c>
      <c r="K839">
        <v>1</v>
      </c>
      <c r="L839">
        <v>69</v>
      </c>
      <c r="M839" t="s">
        <v>58</v>
      </c>
      <c r="N839" t="s">
        <v>73</v>
      </c>
    </row>
    <row r="840" spans="1:14" x14ac:dyDescent="0.3">
      <c r="A840">
        <v>95940980</v>
      </c>
      <c r="B840" t="s">
        <v>908</v>
      </c>
      <c r="C840" t="s">
        <v>54</v>
      </c>
      <c r="D840" s="1">
        <v>45627</v>
      </c>
      <c r="E840">
        <v>9278</v>
      </c>
      <c r="F840" t="s">
        <v>61</v>
      </c>
      <c r="G840" t="s">
        <v>17</v>
      </c>
      <c r="H840" t="s">
        <v>18</v>
      </c>
      <c r="I840" t="s">
        <v>19</v>
      </c>
      <c r="J840" t="s">
        <v>20</v>
      </c>
      <c r="K840">
        <v>0</v>
      </c>
      <c r="L840">
        <v>92</v>
      </c>
      <c r="M840" t="s">
        <v>58</v>
      </c>
      <c r="N840" t="s">
        <v>59</v>
      </c>
    </row>
    <row r="841" spans="1:14" x14ac:dyDescent="0.3">
      <c r="A841">
        <v>29248809</v>
      </c>
      <c r="B841" t="s">
        <v>909</v>
      </c>
      <c r="C841" t="s">
        <v>38</v>
      </c>
      <c r="D841" s="1">
        <v>45481</v>
      </c>
      <c r="E841">
        <v>9573</v>
      </c>
      <c r="F841" t="s">
        <v>50</v>
      </c>
      <c r="G841" t="s">
        <v>32</v>
      </c>
      <c r="H841" t="s">
        <v>51</v>
      </c>
      <c r="I841" t="s">
        <v>27</v>
      </c>
      <c r="J841" t="s">
        <v>79</v>
      </c>
      <c r="K841">
        <v>0</v>
      </c>
      <c r="L841">
        <v>44</v>
      </c>
      <c r="M841" t="s">
        <v>47</v>
      </c>
      <c r="N841" t="s">
        <v>89</v>
      </c>
    </row>
    <row r="842" spans="1:14" x14ac:dyDescent="0.3">
      <c r="A842">
        <v>80441406</v>
      </c>
      <c r="B842" t="s">
        <v>910</v>
      </c>
      <c r="C842" t="s">
        <v>15</v>
      </c>
      <c r="D842" s="1">
        <v>45325</v>
      </c>
      <c r="E842">
        <v>6523</v>
      </c>
      <c r="F842" t="s">
        <v>39</v>
      </c>
      <c r="G842" t="s">
        <v>17</v>
      </c>
      <c r="H842" t="s">
        <v>51</v>
      </c>
      <c r="I842" t="s">
        <v>19</v>
      </c>
      <c r="J842" t="s">
        <v>28</v>
      </c>
      <c r="K842">
        <v>1</v>
      </c>
      <c r="L842">
        <v>62</v>
      </c>
      <c r="M842" t="s">
        <v>42</v>
      </c>
      <c r="N842" t="s">
        <v>36</v>
      </c>
    </row>
    <row r="843" spans="1:14" x14ac:dyDescent="0.3">
      <c r="A843">
        <v>58034509</v>
      </c>
      <c r="B843" t="s">
        <v>911</v>
      </c>
      <c r="C843" t="s">
        <v>15</v>
      </c>
      <c r="D843" s="1">
        <v>45394</v>
      </c>
      <c r="E843">
        <v>19185</v>
      </c>
      <c r="F843" t="s">
        <v>39</v>
      </c>
      <c r="G843" t="s">
        <v>55</v>
      </c>
      <c r="H843" t="s">
        <v>46</v>
      </c>
      <c r="I843" t="s">
        <v>34</v>
      </c>
      <c r="J843" t="s">
        <v>20</v>
      </c>
      <c r="K843">
        <v>0</v>
      </c>
      <c r="L843">
        <v>74</v>
      </c>
      <c r="M843" t="s">
        <v>21</v>
      </c>
      <c r="N843" t="s">
        <v>43</v>
      </c>
    </row>
    <row r="844" spans="1:14" x14ac:dyDescent="0.3">
      <c r="A844">
        <v>49968462</v>
      </c>
      <c r="B844" t="s">
        <v>912</v>
      </c>
      <c r="C844" t="s">
        <v>101</v>
      </c>
      <c r="D844" s="1">
        <v>45282</v>
      </c>
      <c r="E844">
        <v>16613</v>
      </c>
      <c r="F844" t="s">
        <v>16</v>
      </c>
      <c r="G844" t="s">
        <v>25</v>
      </c>
      <c r="H844" t="s">
        <v>81</v>
      </c>
      <c r="I844" t="s">
        <v>34</v>
      </c>
      <c r="J844" t="s">
        <v>68</v>
      </c>
      <c r="K844">
        <v>0</v>
      </c>
      <c r="L844">
        <v>54</v>
      </c>
      <c r="M844" t="s">
        <v>21</v>
      </c>
      <c r="N844" t="s">
        <v>63</v>
      </c>
    </row>
    <row r="845" spans="1:14" x14ac:dyDescent="0.3">
      <c r="A845">
        <v>95705408</v>
      </c>
      <c r="B845" t="s">
        <v>913</v>
      </c>
      <c r="C845" t="s">
        <v>24</v>
      </c>
      <c r="D845" s="1">
        <v>45358</v>
      </c>
      <c r="E845">
        <v>1403</v>
      </c>
      <c r="F845" t="s">
        <v>16</v>
      </c>
      <c r="G845" t="s">
        <v>25</v>
      </c>
      <c r="H845" t="s">
        <v>56</v>
      </c>
      <c r="I845" t="s">
        <v>34</v>
      </c>
      <c r="J845" t="s">
        <v>68</v>
      </c>
      <c r="K845">
        <v>0</v>
      </c>
      <c r="L845">
        <v>80</v>
      </c>
      <c r="M845" t="s">
        <v>58</v>
      </c>
      <c r="N845" t="s">
        <v>73</v>
      </c>
    </row>
    <row r="846" spans="1:14" x14ac:dyDescent="0.3">
      <c r="A846">
        <v>73152649</v>
      </c>
      <c r="B846" t="s">
        <v>914</v>
      </c>
      <c r="C846" t="s">
        <v>15</v>
      </c>
      <c r="D846" s="1">
        <v>45512</v>
      </c>
      <c r="E846">
        <v>11253</v>
      </c>
      <c r="F846" t="s">
        <v>61</v>
      </c>
      <c r="G846" t="s">
        <v>25</v>
      </c>
      <c r="H846" t="s">
        <v>40</v>
      </c>
      <c r="I846" t="s">
        <v>34</v>
      </c>
      <c r="J846" t="s">
        <v>52</v>
      </c>
      <c r="K846">
        <v>1</v>
      </c>
      <c r="L846">
        <v>86</v>
      </c>
      <c r="M846" t="s">
        <v>29</v>
      </c>
      <c r="N846" t="s">
        <v>22</v>
      </c>
    </row>
    <row r="847" spans="1:14" x14ac:dyDescent="0.3">
      <c r="A847">
        <v>18778131</v>
      </c>
      <c r="B847" t="s">
        <v>915</v>
      </c>
      <c r="C847" t="s">
        <v>54</v>
      </c>
      <c r="D847" s="1">
        <v>45623</v>
      </c>
      <c r="E847">
        <v>20506</v>
      </c>
      <c r="F847" t="s">
        <v>39</v>
      </c>
      <c r="G847" t="s">
        <v>71</v>
      </c>
      <c r="H847" t="s">
        <v>18</v>
      </c>
      <c r="I847" t="s">
        <v>27</v>
      </c>
      <c r="J847" t="s">
        <v>57</v>
      </c>
      <c r="K847">
        <v>1</v>
      </c>
      <c r="L847">
        <v>88</v>
      </c>
      <c r="M847" t="s">
        <v>65</v>
      </c>
      <c r="N847" t="s">
        <v>36</v>
      </c>
    </row>
    <row r="848" spans="1:14" x14ac:dyDescent="0.3">
      <c r="A848">
        <v>56395905</v>
      </c>
      <c r="B848" t="s">
        <v>916</v>
      </c>
      <c r="C848" t="s">
        <v>101</v>
      </c>
      <c r="D848" s="1">
        <v>45497</v>
      </c>
      <c r="E848">
        <v>11454</v>
      </c>
      <c r="F848" t="s">
        <v>16</v>
      </c>
      <c r="G848" t="s">
        <v>55</v>
      </c>
      <c r="H848" t="s">
        <v>56</v>
      </c>
      <c r="I848" t="s">
        <v>72</v>
      </c>
      <c r="J848" t="s">
        <v>52</v>
      </c>
      <c r="K848">
        <v>0</v>
      </c>
      <c r="L848">
        <v>89</v>
      </c>
      <c r="M848" t="s">
        <v>21</v>
      </c>
      <c r="N848" t="s">
        <v>22</v>
      </c>
    </row>
    <row r="849" spans="1:14" x14ac:dyDescent="0.3">
      <c r="A849">
        <v>46797288</v>
      </c>
      <c r="B849" t="s">
        <v>917</v>
      </c>
      <c r="C849" t="s">
        <v>45</v>
      </c>
      <c r="D849" s="1">
        <v>45561</v>
      </c>
      <c r="E849">
        <v>11992</v>
      </c>
      <c r="F849" t="s">
        <v>61</v>
      </c>
      <c r="G849" t="s">
        <v>71</v>
      </c>
      <c r="H849" t="s">
        <v>33</v>
      </c>
      <c r="I849" t="s">
        <v>19</v>
      </c>
      <c r="J849" t="s">
        <v>79</v>
      </c>
      <c r="K849">
        <v>1</v>
      </c>
      <c r="L849">
        <v>40</v>
      </c>
      <c r="M849" t="s">
        <v>65</v>
      </c>
      <c r="N849" t="s">
        <v>48</v>
      </c>
    </row>
    <row r="850" spans="1:14" x14ac:dyDescent="0.3">
      <c r="A850">
        <v>22950350</v>
      </c>
      <c r="B850" t="s">
        <v>918</v>
      </c>
      <c r="C850" t="s">
        <v>31</v>
      </c>
      <c r="D850" s="1">
        <v>45516</v>
      </c>
      <c r="E850">
        <v>11108</v>
      </c>
      <c r="F850" t="s">
        <v>50</v>
      </c>
      <c r="G850" t="s">
        <v>71</v>
      </c>
      <c r="H850" t="s">
        <v>46</v>
      </c>
      <c r="I850" t="s">
        <v>27</v>
      </c>
      <c r="J850" t="s">
        <v>35</v>
      </c>
      <c r="K850">
        <v>1</v>
      </c>
      <c r="L850">
        <v>85</v>
      </c>
      <c r="M850" t="s">
        <v>65</v>
      </c>
      <c r="N850" t="s">
        <v>89</v>
      </c>
    </row>
    <row r="851" spans="1:14" x14ac:dyDescent="0.3">
      <c r="A851">
        <v>79039194</v>
      </c>
      <c r="B851" t="s">
        <v>919</v>
      </c>
      <c r="C851" t="s">
        <v>31</v>
      </c>
      <c r="D851" s="1">
        <v>45590</v>
      </c>
      <c r="E851">
        <v>21210</v>
      </c>
      <c r="F851" t="s">
        <v>16</v>
      </c>
      <c r="G851" t="s">
        <v>71</v>
      </c>
      <c r="H851" t="s">
        <v>33</v>
      </c>
      <c r="I851" t="s">
        <v>34</v>
      </c>
      <c r="J851" t="s">
        <v>85</v>
      </c>
      <c r="K851">
        <v>1</v>
      </c>
      <c r="L851">
        <v>35</v>
      </c>
      <c r="M851" t="s">
        <v>21</v>
      </c>
      <c r="N851" t="s">
        <v>46</v>
      </c>
    </row>
    <row r="852" spans="1:14" x14ac:dyDescent="0.3">
      <c r="A852">
        <v>90123495</v>
      </c>
      <c r="B852" t="s">
        <v>920</v>
      </c>
      <c r="C852" t="s">
        <v>31</v>
      </c>
      <c r="D852" s="1">
        <v>45612</v>
      </c>
      <c r="E852">
        <v>4534</v>
      </c>
      <c r="F852" t="s">
        <v>39</v>
      </c>
      <c r="G852" t="s">
        <v>32</v>
      </c>
      <c r="H852" t="s">
        <v>18</v>
      </c>
      <c r="I852" t="s">
        <v>27</v>
      </c>
      <c r="J852" t="s">
        <v>35</v>
      </c>
      <c r="K852">
        <v>0</v>
      </c>
      <c r="L852">
        <v>65</v>
      </c>
      <c r="M852" t="s">
        <v>47</v>
      </c>
      <c r="N852" t="s">
        <v>73</v>
      </c>
    </row>
    <row r="853" spans="1:14" x14ac:dyDescent="0.3">
      <c r="A853">
        <v>22084603</v>
      </c>
      <c r="B853" t="s">
        <v>921</v>
      </c>
      <c r="C853" t="s">
        <v>75</v>
      </c>
      <c r="D853" s="1">
        <v>45616</v>
      </c>
      <c r="E853">
        <v>23133</v>
      </c>
      <c r="F853" t="s">
        <v>39</v>
      </c>
      <c r="G853" t="s">
        <v>17</v>
      </c>
      <c r="H853" t="s">
        <v>62</v>
      </c>
      <c r="I853" t="s">
        <v>72</v>
      </c>
      <c r="J853" t="s">
        <v>85</v>
      </c>
      <c r="K853">
        <v>0</v>
      </c>
      <c r="L853">
        <v>32</v>
      </c>
      <c r="M853" t="s">
        <v>65</v>
      </c>
      <c r="N853" t="s">
        <v>73</v>
      </c>
    </row>
    <row r="854" spans="1:14" x14ac:dyDescent="0.3">
      <c r="A854">
        <v>96130124</v>
      </c>
      <c r="B854" t="s">
        <v>922</v>
      </c>
      <c r="C854" t="s">
        <v>70</v>
      </c>
      <c r="D854" s="1">
        <v>45583</v>
      </c>
      <c r="E854">
        <v>24815</v>
      </c>
      <c r="F854" t="s">
        <v>39</v>
      </c>
      <c r="G854" t="s">
        <v>17</v>
      </c>
      <c r="H854" t="s">
        <v>33</v>
      </c>
      <c r="I854" t="s">
        <v>19</v>
      </c>
      <c r="J854" t="s">
        <v>68</v>
      </c>
      <c r="K854">
        <v>1</v>
      </c>
      <c r="L854">
        <v>83</v>
      </c>
      <c r="M854" t="s">
        <v>47</v>
      </c>
      <c r="N854" t="s">
        <v>46</v>
      </c>
    </row>
    <row r="855" spans="1:14" x14ac:dyDescent="0.3">
      <c r="A855">
        <v>35924873</v>
      </c>
      <c r="B855" t="s">
        <v>923</v>
      </c>
      <c r="C855" t="s">
        <v>70</v>
      </c>
      <c r="D855" s="1">
        <v>45354</v>
      </c>
      <c r="E855">
        <v>12330</v>
      </c>
      <c r="F855" t="s">
        <v>39</v>
      </c>
      <c r="G855" t="s">
        <v>71</v>
      </c>
      <c r="H855" t="s">
        <v>56</v>
      </c>
      <c r="I855" t="s">
        <v>27</v>
      </c>
      <c r="J855" t="s">
        <v>20</v>
      </c>
      <c r="K855">
        <v>1</v>
      </c>
      <c r="L855">
        <v>41</v>
      </c>
      <c r="M855" t="s">
        <v>42</v>
      </c>
      <c r="N855" t="s">
        <v>59</v>
      </c>
    </row>
    <row r="856" spans="1:14" x14ac:dyDescent="0.3">
      <c r="A856">
        <v>47161136</v>
      </c>
      <c r="B856" t="s">
        <v>924</v>
      </c>
      <c r="C856" t="s">
        <v>75</v>
      </c>
      <c r="D856" s="1">
        <v>45420</v>
      </c>
      <c r="E856">
        <v>23243</v>
      </c>
      <c r="F856" t="s">
        <v>61</v>
      </c>
      <c r="G856" t="s">
        <v>25</v>
      </c>
      <c r="H856" t="s">
        <v>51</v>
      </c>
      <c r="I856" t="s">
        <v>19</v>
      </c>
      <c r="J856" t="s">
        <v>57</v>
      </c>
      <c r="K856">
        <v>0</v>
      </c>
      <c r="L856">
        <v>74</v>
      </c>
      <c r="M856" t="s">
        <v>21</v>
      </c>
      <c r="N856" t="s">
        <v>36</v>
      </c>
    </row>
    <row r="857" spans="1:14" x14ac:dyDescent="0.3">
      <c r="A857">
        <v>99637192</v>
      </c>
      <c r="B857" t="s">
        <v>925</v>
      </c>
      <c r="C857" t="s">
        <v>45</v>
      </c>
      <c r="D857" s="1">
        <v>45552</v>
      </c>
      <c r="E857">
        <v>6898</v>
      </c>
      <c r="F857" t="s">
        <v>39</v>
      </c>
      <c r="G857" t="s">
        <v>32</v>
      </c>
      <c r="H857" t="s">
        <v>56</v>
      </c>
      <c r="I857" t="s">
        <v>27</v>
      </c>
      <c r="J857" t="s">
        <v>41</v>
      </c>
      <c r="K857">
        <v>0</v>
      </c>
      <c r="L857">
        <v>35</v>
      </c>
      <c r="M857" t="s">
        <v>47</v>
      </c>
      <c r="N857" t="s">
        <v>36</v>
      </c>
    </row>
    <row r="858" spans="1:14" x14ac:dyDescent="0.3">
      <c r="A858">
        <v>99832267</v>
      </c>
      <c r="B858" t="s">
        <v>926</v>
      </c>
      <c r="C858" t="s">
        <v>24</v>
      </c>
      <c r="D858" s="1">
        <v>45444</v>
      </c>
      <c r="E858">
        <v>15780</v>
      </c>
      <c r="F858" t="s">
        <v>16</v>
      </c>
      <c r="G858" t="s">
        <v>25</v>
      </c>
      <c r="H858" t="s">
        <v>103</v>
      </c>
      <c r="I858" t="s">
        <v>34</v>
      </c>
      <c r="J858" t="s">
        <v>20</v>
      </c>
      <c r="K858">
        <v>1</v>
      </c>
      <c r="L858">
        <v>68</v>
      </c>
      <c r="M858" t="s">
        <v>21</v>
      </c>
      <c r="N858" t="s">
        <v>89</v>
      </c>
    </row>
    <row r="859" spans="1:14" x14ac:dyDescent="0.3">
      <c r="A859">
        <v>81386473</v>
      </c>
      <c r="B859" t="s">
        <v>927</v>
      </c>
      <c r="C859" t="s">
        <v>54</v>
      </c>
      <c r="D859" s="1">
        <v>45618</v>
      </c>
      <c r="E859">
        <v>10013</v>
      </c>
      <c r="F859" t="s">
        <v>16</v>
      </c>
      <c r="G859" t="s">
        <v>55</v>
      </c>
      <c r="H859" t="s">
        <v>18</v>
      </c>
      <c r="I859" t="s">
        <v>34</v>
      </c>
      <c r="J859" t="s">
        <v>79</v>
      </c>
      <c r="K859">
        <v>0</v>
      </c>
      <c r="L859">
        <v>63</v>
      </c>
      <c r="M859" t="s">
        <v>47</v>
      </c>
      <c r="N859" t="s">
        <v>73</v>
      </c>
    </row>
    <row r="860" spans="1:14" x14ac:dyDescent="0.3">
      <c r="A860">
        <v>86279476</v>
      </c>
      <c r="B860" t="s">
        <v>928</v>
      </c>
      <c r="C860" t="s">
        <v>24</v>
      </c>
      <c r="D860" s="1">
        <v>45402</v>
      </c>
      <c r="E860">
        <v>15062</v>
      </c>
      <c r="F860" t="s">
        <v>16</v>
      </c>
      <c r="G860" t="s">
        <v>55</v>
      </c>
      <c r="H860" t="s">
        <v>81</v>
      </c>
      <c r="I860" t="s">
        <v>27</v>
      </c>
      <c r="J860" t="s">
        <v>79</v>
      </c>
      <c r="K860">
        <v>0</v>
      </c>
      <c r="L860">
        <v>14</v>
      </c>
      <c r="M860" t="s">
        <v>21</v>
      </c>
      <c r="N860" t="s">
        <v>89</v>
      </c>
    </row>
    <row r="861" spans="1:14" x14ac:dyDescent="0.3">
      <c r="A861">
        <v>86139527</v>
      </c>
      <c r="B861" t="s">
        <v>929</v>
      </c>
      <c r="C861" t="s">
        <v>75</v>
      </c>
      <c r="D861" s="1">
        <v>45586</v>
      </c>
      <c r="E861">
        <v>13589</v>
      </c>
      <c r="F861" t="s">
        <v>39</v>
      </c>
      <c r="G861" t="s">
        <v>55</v>
      </c>
      <c r="H861" t="s">
        <v>18</v>
      </c>
      <c r="I861" t="s">
        <v>27</v>
      </c>
      <c r="J861" t="s">
        <v>85</v>
      </c>
      <c r="K861">
        <v>0</v>
      </c>
      <c r="L861">
        <v>29</v>
      </c>
      <c r="M861" t="s">
        <v>58</v>
      </c>
      <c r="N861" t="s">
        <v>63</v>
      </c>
    </row>
    <row r="862" spans="1:14" x14ac:dyDescent="0.3">
      <c r="A862">
        <v>61520502</v>
      </c>
      <c r="B862" t="s">
        <v>930</v>
      </c>
      <c r="C862" t="s">
        <v>54</v>
      </c>
      <c r="D862" s="1">
        <v>45325</v>
      </c>
      <c r="E862">
        <v>15862</v>
      </c>
      <c r="F862" t="s">
        <v>16</v>
      </c>
      <c r="G862" t="s">
        <v>32</v>
      </c>
      <c r="H862" t="s">
        <v>40</v>
      </c>
      <c r="I862" t="s">
        <v>27</v>
      </c>
      <c r="J862" t="s">
        <v>41</v>
      </c>
      <c r="K862">
        <v>0</v>
      </c>
      <c r="L862">
        <v>84</v>
      </c>
      <c r="M862" t="s">
        <v>58</v>
      </c>
      <c r="N862" t="s">
        <v>48</v>
      </c>
    </row>
    <row r="863" spans="1:14" x14ac:dyDescent="0.3">
      <c r="A863">
        <v>67288188</v>
      </c>
      <c r="B863" t="s">
        <v>931</v>
      </c>
      <c r="C863" t="s">
        <v>15</v>
      </c>
      <c r="D863" s="1">
        <v>45423</v>
      </c>
      <c r="E863">
        <v>17076</v>
      </c>
      <c r="F863" t="s">
        <v>16</v>
      </c>
      <c r="G863" t="s">
        <v>25</v>
      </c>
      <c r="H863" t="s">
        <v>51</v>
      </c>
      <c r="I863" t="s">
        <v>27</v>
      </c>
      <c r="J863" t="s">
        <v>52</v>
      </c>
      <c r="K863">
        <v>0</v>
      </c>
      <c r="L863">
        <v>27</v>
      </c>
      <c r="M863" t="s">
        <v>29</v>
      </c>
      <c r="N863" t="s">
        <v>73</v>
      </c>
    </row>
    <row r="864" spans="1:14" x14ac:dyDescent="0.3">
      <c r="A864">
        <v>20030226</v>
      </c>
      <c r="B864" t="s">
        <v>932</v>
      </c>
      <c r="C864" t="s">
        <v>24</v>
      </c>
      <c r="D864" s="1">
        <v>45462</v>
      </c>
      <c r="E864">
        <v>8815</v>
      </c>
      <c r="F864" t="s">
        <v>39</v>
      </c>
      <c r="G864" t="s">
        <v>17</v>
      </c>
      <c r="H864" t="s">
        <v>103</v>
      </c>
      <c r="I864" t="s">
        <v>19</v>
      </c>
      <c r="J864" t="s">
        <v>79</v>
      </c>
      <c r="K864">
        <v>1</v>
      </c>
      <c r="L864">
        <v>78</v>
      </c>
      <c r="M864" t="s">
        <v>29</v>
      </c>
      <c r="N864" t="s">
        <v>46</v>
      </c>
    </row>
    <row r="865" spans="1:14" x14ac:dyDescent="0.3">
      <c r="A865">
        <v>45339073</v>
      </c>
      <c r="B865" t="s">
        <v>933</v>
      </c>
      <c r="C865" t="s">
        <v>38</v>
      </c>
      <c r="D865" s="1">
        <v>45619</v>
      </c>
      <c r="E865">
        <v>6267</v>
      </c>
      <c r="F865" t="s">
        <v>39</v>
      </c>
      <c r="G865" t="s">
        <v>55</v>
      </c>
      <c r="H865" t="s">
        <v>26</v>
      </c>
      <c r="I865" t="s">
        <v>27</v>
      </c>
      <c r="J865" t="s">
        <v>79</v>
      </c>
      <c r="K865">
        <v>0</v>
      </c>
      <c r="L865">
        <v>15</v>
      </c>
      <c r="M865" t="s">
        <v>21</v>
      </c>
      <c r="N865" t="s">
        <v>59</v>
      </c>
    </row>
    <row r="866" spans="1:14" x14ac:dyDescent="0.3">
      <c r="A866">
        <v>46574827</v>
      </c>
      <c r="B866" t="s">
        <v>934</v>
      </c>
      <c r="C866" t="s">
        <v>70</v>
      </c>
      <c r="D866" s="1">
        <v>45312</v>
      </c>
      <c r="E866">
        <v>17517</v>
      </c>
      <c r="F866" t="s">
        <v>39</v>
      </c>
      <c r="G866" t="s">
        <v>17</v>
      </c>
      <c r="H866" t="s">
        <v>40</v>
      </c>
      <c r="I866" t="s">
        <v>19</v>
      </c>
      <c r="J866" t="s">
        <v>68</v>
      </c>
      <c r="K866">
        <v>0</v>
      </c>
      <c r="L866">
        <v>90</v>
      </c>
      <c r="M866" t="s">
        <v>29</v>
      </c>
      <c r="N866" t="s">
        <v>73</v>
      </c>
    </row>
    <row r="867" spans="1:14" x14ac:dyDescent="0.3">
      <c r="A867">
        <v>33345455</v>
      </c>
      <c r="B867" t="s">
        <v>935</v>
      </c>
      <c r="C867" t="s">
        <v>75</v>
      </c>
      <c r="D867" s="1">
        <v>45497</v>
      </c>
      <c r="E867">
        <v>17498</v>
      </c>
      <c r="F867" t="s">
        <v>39</v>
      </c>
      <c r="G867" t="s">
        <v>17</v>
      </c>
      <c r="H867" t="s">
        <v>81</v>
      </c>
      <c r="I867" t="s">
        <v>34</v>
      </c>
      <c r="J867" t="s">
        <v>68</v>
      </c>
      <c r="K867">
        <v>0</v>
      </c>
      <c r="L867">
        <v>28</v>
      </c>
      <c r="M867" t="s">
        <v>42</v>
      </c>
      <c r="N867" t="s">
        <v>22</v>
      </c>
    </row>
    <row r="868" spans="1:14" x14ac:dyDescent="0.3">
      <c r="A868">
        <v>93599229</v>
      </c>
      <c r="B868" t="s">
        <v>936</v>
      </c>
      <c r="C868" t="s">
        <v>31</v>
      </c>
      <c r="D868" s="1">
        <v>45517</v>
      </c>
      <c r="E868">
        <v>17843</v>
      </c>
      <c r="F868" t="s">
        <v>61</v>
      </c>
      <c r="G868" t="s">
        <v>71</v>
      </c>
      <c r="H868" t="s">
        <v>81</v>
      </c>
      <c r="I868" t="s">
        <v>27</v>
      </c>
      <c r="J868" t="s">
        <v>68</v>
      </c>
      <c r="K868">
        <v>1</v>
      </c>
      <c r="L868">
        <v>60</v>
      </c>
      <c r="M868" t="s">
        <v>42</v>
      </c>
      <c r="N868" t="s">
        <v>36</v>
      </c>
    </row>
    <row r="869" spans="1:14" x14ac:dyDescent="0.3">
      <c r="A869">
        <v>68226584</v>
      </c>
      <c r="B869" t="s">
        <v>937</v>
      </c>
      <c r="C869" t="s">
        <v>101</v>
      </c>
      <c r="D869" s="1">
        <v>45284</v>
      </c>
      <c r="E869">
        <v>13701</v>
      </c>
      <c r="F869" t="s">
        <v>61</v>
      </c>
      <c r="G869" t="s">
        <v>55</v>
      </c>
      <c r="H869" t="s">
        <v>56</v>
      </c>
      <c r="I869" t="s">
        <v>72</v>
      </c>
      <c r="J869" t="s">
        <v>35</v>
      </c>
      <c r="K869">
        <v>0</v>
      </c>
      <c r="L869">
        <v>17</v>
      </c>
      <c r="M869" t="s">
        <v>21</v>
      </c>
      <c r="N869" t="s">
        <v>22</v>
      </c>
    </row>
    <row r="870" spans="1:14" x14ac:dyDescent="0.3">
      <c r="A870">
        <v>92133314</v>
      </c>
      <c r="B870" t="s">
        <v>938</v>
      </c>
      <c r="C870" t="s">
        <v>70</v>
      </c>
      <c r="D870" s="1">
        <v>45375</v>
      </c>
      <c r="E870">
        <v>4682</v>
      </c>
      <c r="F870" t="s">
        <v>16</v>
      </c>
      <c r="G870" t="s">
        <v>25</v>
      </c>
      <c r="H870" t="s">
        <v>56</v>
      </c>
      <c r="I870" t="s">
        <v>27</v>
      </c>
      <c r="J870" t="s">
        <v>79</v>
      </c>
      <c r="K870">
        <v>0</v>
      </c>
      <c r="L870">
        <v>85</v>
      </c>
      <c r="M870" t="s">
        <v>42</v>
      </c>
      <c r="N870" t="s">
        <v>59</v>
      </c>
    </row>
    <row r="871" spans="1:14" x14ac:dyDescent="0.3">
      <c r="A871">
        <v>20025625</v>
      </c>
      <c r="B871" t="s">
        <v>939</v>
      </c>
      <c r="C871" t="s">
        <v>38</v>
      </c>
      <c r="D871" s="1">
        <v>45372</v>
      </c>
      <c r="E871">
        <v>22272</v>
      </c>
      <c r="F871" t="s">
        <v>39</v>
      </c>
      <c r="G871" t="s">
        <v>71</v>
      </c>
      <c r="H871" t="s">
        <v>33</v>
      </c>
      <c r="I871" t="s">
        <v>34</v>
      </c>
      <c r="J871" t="s">
        <v>68</v>
      </c>
      <c r="K871">
        <v>1</v>
      </c>
      <c r="L871">
        <v>57</v>
      </c>
      <c r="M871" t="s">
        <v>29</v>
      </c>
      <c r="N871" t="s">
        <v>87</v>
      </c>
    </row>
    <row r="872" spans="1:14" x14ac:dyDescent="0.3">
      <c r="A872">
        <v>78357827</v>
      </c>
      <c r="B872" t="s">
        <v>940</v>
      </c>
      <c r="C872" t="s">
        <v>54</v>
      </c>
      <c r="D872" s="1">
        <v>45434</v>
      </c>
      <c r="E872">
        <v>9433</v>
      </c>
      <c r="F872" t="s">
        <v>61</v>
      </c>
      <c r="G872" t="s">
        <v>71</v>
      </c>
      <c r="H872" t="s">
        <v>46</v>
      </c>
      <c r="I872" t="s">
        <v>27</v>
      </c>
      <c r="J872" t="s">
        <v>79</v>
      </c>
      <c r="K872">
        <v>0</v>
      </c>
      <c r="L872">
        <v>49</v>
      </c>
      <c r="M872" t="s">
        <v>21</v>
      </c>
      <c r="N872" t="s">
        <v>46</v>
      </c>
    </row>
    <row r="873" spans="1:14" x14ac:dyDescent="0.3">
      <c r="A873">
        <v>75628843</v>
      </c>
      <c r="B873" t="s">
        <v>941</v>
      </c>
      <c r="C873" t="s">
        <v>31</v>
      </c>
      <c r="D873" s="1">
        <v>45556</v>
      </c>
      <c r="E873">
        <v>3360</v>
      </c>
      <c r="F873" t="s">
        <v>16</v>
      </c>
      <c r="G873" t="s">
        <v>32</v>
      </c>
      <c r="H873" t="s">
        <v>40</v>
      </c>
      <c r="I873" t="s">
        <v>19</v>
      </c>
      <c r="J873" t="s">
        <v>52</v>
      </c>
      <c r="K873">
        <v>1</v>
      </c>
      <c r="L873">
        <v>24</v>
      </c>
      <c r="M873" t="s">
        <v>21</v>
      </c>
      <c r="N873" t="s">
        <v>36</v>
      </c>
    </row>
    <row r="874" spans="1:14" x14ac:dyDescent="0.3">
      <c r="A874">
        <v>18725341</v>
      </c>
      <c r="B874" t="s">
        <v>942</v>
      </c>
      <c r="C874" t="s">
        <v>70</v>
      </c>
      <c r="D874" s="1">
        <v>45618</v>
      </c>
      <c r="E874">
        <v>10393</v>
      </c>
      <c r="F874" t="s">
        <v>16</v>
      </c>
      <c r="G874" t="s">
        <v>32</v>
      </c>
      <c r="H874" t="s">
        <v>40</v>
      </c>
      <c r="I874" t="s">
        <v>72</v>
      </c>
      <c r="J874" t="s">
        <v>85</v>
      </c>
      <c r="K874">
        <v>0</v>
      </c>
      <c r="L874">
        <v>74</v>
      </c>
      <c r="M874" t="s">
        <v>58</v>
      </c>
      <c r="N874" t="s">
        <v>43</v>
      </c>
    </row>
    <row r="875" spans="1:14" x14ac:dyDescent="0.3">
      <c r="A875">
        <v>51976755</v>
      </c>
      <c r="B875" t="s">
        <v>943</v>
      </c>
      <c r="C875" t="s">
        <v>54</v>
      </c>
      <c r="D875" s="1">
        <v>45449</v>
      </c>
      <c r="E875">
        <v>22195</v>
      </c>
      <c r="F875" t="s">
        <v>39</v>
      </c>
      <c r="G875" t="s">
        <v>25</v>
      </c>
      <c r="H875" t="s">
        <v>46</v>
      </c>
      <c r="I875" t="s">
        <v>27</v>
      </c>
      <c r="J875" t="s">
        <v>41</v>
      </c>
      <c r="K875">
        <v>0</v>
      </c>
      <c r="L875">
        <v>19</v>
      </c>
      <c r="M875" t="s">
        <v>42</v>
      </c>
      <c r="N875" t="s">
        <v>22</v>
      </c>
    </row>
    <row r="876" spans="1:14" x14ac:dyDescent="0.3">
      <c r="A876">
        <v>97836055</v>
      </c>
      <c r="B876" t="s">
        <v>944</v>
      </c>
      <c r="C876" t="s">
        <v>70</v>
      </c>
      <c r="D876" s="1">
        <v>45561</v>
      </c>
      <c r="E876">
        <v>22151</v>
      </c>
      <c r="F876" t="s">
        <v>16</v>
      </c>
      <c r="G876" t="s">
        <v>71</v>
      </c>
      <c r="H876" t="s">
        <v>33</v>
      </c>
      <c r="I876" t="s">
        <v>72</v>
      </c>
      <c r="J876" t="s">
        <v>28</v>
      </c>
      <c r="K876">
        <v>0</v>
      </c>
      <c r="L876">
        <v>15</v>
      </c>
      <c r="M876" t="s">
        <v>29</v>
      </c>
      <c r="N876" t="s">
        <v>63</v>
      </c>
    </row>
    <row r="877" spans="1:14" x14ac:dyDescent="0.3">
      <c r="A877">
        <v>33055896</v>
      </c>
      <c r="B877" t="s">
        <v>945</v>
      </c>
      <c r="C877" t="s">
        <v>75</v>
      </c>
      <c r="D877" s="1">
        <v>45474</v>
      </c>
      <c r="E877">
        <v>1757</v>
      </c>
      <c r="F877" t="s">
        <v>50</v>
      </c>
      <c r="G877" t="s">
        <v>17</v>
      </c>
      <c r="H877" t="s">
        <v>103</v>
      </c>
      <c r="I877" t="s">
        <v>34</v>
      </c>
      <c r="J877" t="s">
        <v>57</v>
      </c>
      <c r="K877">
        <v>0</v>
      </c>
      <c r="L877">
        <v>37</v>
      </c>
      <c r="M877" t="s">
        <v>47</v>
      </c>
      <c r="N877" t="s">
        <v>48</v>
      </c>
    </row>
    <row r="878" spans="1:14" x14ac:dyDescent="0.3">
      <c r="A878">
        <v>65935965</v>
      </c>
      <c r="B878" t="s">
        <v>946</v>
      </c>
      <c r="C878" t="s">
        <v>77</v>
      </c>
      <c r="D878" s="1">
        <v>45632</v>
      </c>
      <c r="E878">
        <v>6419</v>
      </c>
      <c r="F878" t="s">
        <v>39</v>
      </c>
      <c r="G878" t="s">
        <v>55</v>
      </c>
      <c r="H878" t="s">
        <v>81</v>
      </c>
      <c r="I878" t="s">
        <v>27</v>
      </c>
      <c r="J878" t="s">
        <v>79</v>
      </c>
      <c r="K878">
        <v>1</v>
      </c>
      <c r="L878">
        <v>27</v>
      </c>
      <c r="M878" t="s">
        <v>29</v>
      </c>
      <c r="N878" t="s">
        <v>36</v>
      </c>
    </row>
    <row r="879" spans="1:14" x14ac:dyDescent="0.3">
      <c r="A879">
        <v>39257362</v>
      </c>
      <c r="B879" t="s">
        <v>947</v>
      </c>
      <c r="C879" t="s">
        <v>45</v>
      </c>
      <c r="D879" s="1">
        <v>45357</v>
      </c>
      <c r="E879">
        <v>9526</v>
      </c>
      <c r="F879" t="s">
        <v>16</v>
      </c>
      <c r="G879" t="s">
        <v>17</v>
      </c>
      <c r="H879" t="s">
        <v>46</v>
      </c>
      <c r="I879" t="s">
        <v>27</v>
      </c>
      <c r="J879" t="s">
        <v>28</v>
      </c>
      <c r="K879">
        <v>1</v>
      </c>
      <c r="L879">
        <v>17</v>
      </c>
      <c r="M879" t="s">
        <v>47</v>
      </c>
      <c r="N879" t="s">
        <v>87</v>
      </c>
    </row>
    <row r="880" spans="1:14" x14ac:dyDescent="0.3">
      <c r="A880">
        <v>84773723</v>
      </c>
      <c r="B880" t="s">
        <v>948</v>
      </c>
      <c r="C880" t="s">
        <v>75</v>
      </c>
      <c r="D880" s="1">
        <v>45343</v>
      </c>
      <c r="E880">
        <v>13216</v>
      </c>
      <c r="F880" t="s">
        <v>16</v>
      </c>
      <c r="G880" t="s">
        <v>25</v>
      </c>
      <c r="H880" t="s">
        <v>51</v>
      </c>
      <c r="I880" t="s">
        <v>19</v>
      </c>
      <c r="J880" t="s">
        <v>28</v>
      </c>
      <c r="K880">
        <v>0</v>
      </c>
      <c r="L880">
        <v>65</v>
      </c>
      <c r="M880" t="s">
        <v>47</v>
      </c>
      <c r="N880" t="s">
        <v>22</v>
      </c>
    </row>
    <row r="881" spans="1:14" x14ac:dyDescent="0.3">
      <c r="A881">
        <v>16730991</v>
      </c>
      <c r="B881" t="s">
        <v>949</v>
      </c>
      <c r="C881" t="s">
        <v>77</v>
      </c>
      <c r="D881" s="1">
        <v>45496</v>
      </c>
      <c r="E881">
        <v>6593</v>
      </c>
      <c r="F881" t="s">
        <v>16</v>
      </c>
      <c r="G881" t="s">
        <v>71</v>
      </c>
      <c r="H881" t="s">
        <v>103</v>
      </c>
      <c r="I881" t="s">
        <v>19</v>
      </c>
      <c r="J881" t="s">
        <v>20</v>
      </c>
      <c r="K881">
        <v>0</v>
      </c>
      <c r="L881">
        <v>22</v>
      </c>
      <c r="M881" t="s">
        <v>29</v>
      </c>
      <c r="N881" t="s">
        <v>89</v>
      </c>
    </row>
    <row r="882" spans="1:14" x14ac:dyDescent="0.3">
      <c r="A882">
        <v>83808522</v>
      </c>
      <c r="B882" t="s">
        <v>950</v>
      </c>
      <c r="C882" t="s">
        <v>54</v>
      </c>
      <c r="D882" s="1">
        <v>45341</v>
      </c>
      <c r="E882">
        <v>23077</v>
      </c>
      <c r="F882" t="s">
        <v>39</v>
      </c>
      <c r="G882" t="s">
        <v>32</v>
      </c>
      <c r="H882" t="s">
        <v>81</v>
      </c>
      <c r="I882" t="s">
        <v>27</v>
      </c>
      <c r="J882" t="s">
        <v>41</v>
      </c>
      <c r="K882">
        <v>0</v>
      </c>
      <c r="L882">
        <v>55</v>
      </c>
      <c r="M882" t="s">
        <v>58</v>
      </c>
      <c r="N882" t="s">
        <v>22</v>
      </c>
    </row>
    <row r="883" spans="1:14" x14ac:dyDescent="0.3">
      <c r="A883">
        <v>36747250</v>
      </c>
      <c r="B883" t="s">
        <v>951</v>
      </c>
      <c r="C883" t="s">
        <v>75</v>
      </c>
      <c r="D883" s="1">
        <v>45572</v>
      </c>
      <c r="E883">
        <v>12988</v>
      </c>
      <c r="F883" t="s">
        <v>16</v>
      </c>
      <c r="G883" t="s">
        <v>32</v>
      </c>
      <c r="H883" t="s">
        <v>26</v>
      </c>
      <c r="I883" t="s">
        <v>27</v>
      </c>
      <c r="J883" t="s">
        <v>20</v>
      </c>
      <c r="K883">
        <v>0</v>
      </c>
      <c r="L883">
        <v>20</v>
      </c>
      <c r="M883" t="s">
        <v>21</v>
      </c>
      <c r="N883" t="s">
        <v>43</v>
      </c>
    </row>
    <row r="884" spans="1:14" x14ac:dyDescent="0.3">
      <c r="A884">
        <v>27083114</v>
      </c>
      <c r="B884" t="s">
        <v>952</v>
      </c>
      <c r="C884" t="s">
        <v>101</v>
      </c>
      <c r="D884" s="1">
        <v>45506</v>
      </c>
      <c r="E884">
        <v>14659</v>
      </c>
      <c r="F884" t="s">
        <v>61</v>
      </c>
      <c r="G884" t="s">
        <v>17</v>
      </c>
      <c r="H884" t="s">
        <v>81</v>
      </c>
      <c r="I884" t="s">
        <v>27</v>
      </c>
      <c r="J884" t="s">
        <v>57</v>
      </c>
      <c r="K884">
        <v>0</v>
      </c>
      <c r="L884">
        <v>73</v>
      </c>
      <c r="M884" t="s">
        <v>65</v>
      </c>
      <c r="N884" t="s">
        <v>36</v>
      </c>
    </row>
    <row r="885" spans="1:14" x14ac:dyDescent="0.3">
      <c r="A885">
        <v>57769848</v>
      </c>
      <c r="B885" t="s">
        <v>953</v>
      </c>
      <c r="C885" t="s">
        <v>70</v>
      </c>
      <c r="D885" s="1">
        <v>45541</v>
      </c>
      <c r="E885">
        <v>12748</v>
      </c>
      <c r="F885" t="s">
        <v>39</v>
      </c>
      <c r="G885" t="s">
        <v>32</v>
      </c>
      <c r="H885" t="s">
        <v>103</v>
      </c>
      <c r="I885" t="s">
        <v>19</v>
      </c>
      <c r="J885" t="s">
        <v>35</v>
      </c>
      <c r="K885">
        <v>0</v>
      </c>
      <c r="L885">
        <v>63</v>
      </c>
      <c r="M885" t="s">
        <v>29</v>
      </c>
      <c r="N885" t="s">
        <v>59</v>
      </c>
    </row>
    <row r="886" spans="1:14" x14ac:dyDescent="0.3">
      <c r="A886">
        <v>58776639</v>
      </c>
      <c r="B886" t="s">
        <v>954</v>
      </c>
      <c r="C886" t="s">
        <v>101</v>
      </c>
      <c r="D886" s="1">
        <v>45390</v>
      </c>
      <c r="E886">
        <v>12265</v>
      </c>
      <c r="F886" t="s">
        <v>61</v>
      </c>
      <c r="G886" t="s">
        <v>71</v>
      </c>
      <c r="H886" t="s">
        <v>26</v>
      </c>
      <c r="I886" t="s">
        <v>27</v>
      </c>
      <c r="J886" t="s">
        <v>20</v>
      </c>
      <c r="K886">
        <v>1</v>
      </c>
      <c r="L886">
        <v>94</v>
      </c>
      <c r="M886" t="s">
        <v>58</v>
      </c>
      <c r="N886" t="s">
        <v>59</v>
      </c>
    </row>
    <row r="887" spans="1:14" x14ac:dyDescent="0.3">
      <c r="A887">
        <v>69427779</v>
      </c>
      <c r="B887" t="s">
        <v>955</v>
      </c>
      <c r="C887" t="s">
        <v>15</v>
      </c>
      <c r="D887" s="1">
        <v>45560</v>
      </c>
      <c r="E887">
        <v>11983</v>
      </c>
      <c r="F887" t="s">
        <v>39</v>
      </c>
      <c r="G887" t="s">
        <v>32</v>
      </c>
      <c r="H887" t="s">
        <v>26</v>
      </c>
      <c r="I887" t="s">
        <v>34</v>
      </c>
      <c r="J887" t="s">
        <v>68</v>
      </c>
      <c r="K887">
        <v>0</v>
      </c>
      <c r="L887">
        <v>40</v>
      </c>
      <c r="M887" t="s">
        <v>21</v>
      </c>
      <c r="N887" t="s">
        <v>73</v>
      </c>
    </row>
    <row r="888" spans="1:14" x14ac:dyDescent="0.3">
      <c r="A888">
        <v>47205617</v>
      </c>
      <c r="B888" t="s">
        <v>956</v>
      </c>
      <c r="C888" t="s">
        <v>31</v>
      </c>
      <c r="D888" s="1">
        <v>45398</v>
      </c>
      <c r="E888">
        <v>6391</v>
      </c>
      <c r="F888" t="s">
        <v>50</v>
      </c>
      <c r="G888" t="s">
        <v>71</v>
      </c>
      <c r="H888" t="s">
        <v>51</v>
      </c>
      <c r="I888" t="s">
        <v>34</v>
      </c>
      <c r="J888" t="s">
        <v>52</v>
      </c>
      <c r="K888">
        <v>0</v>
      </c>
      <c r="L888">
        <v>21</v>
      </c>
      <c r="M888" t="s">
        <v>21</v>
      </c>
      <c r="N888" t="s">
        <v>48</v>
      </c>
    </row>
    <row r="889" spans="1:14" x14ac:dyDescent="0.3">
      <c r="A889">
        <v>64096945</v>
      </c>
      <c r="B889" t="s">
        <v>957</v>
      </c>
      <c r="C889" t="s">
        <v>31</v>
      </c>
      <c r="D889" s="1">
        <v>45421</v>
      </c>
      <c r="E889">
        <v>5760</v>
      </c>
      <c r="F889" t="s">
        <v>61</v>
      </c>
      <c r="G889" t="s">
        <v>25</v>
      </c>
      <c r="H889" t="s">
        <v>51</v>
      </c>
      <c r="I889" t="s">
        <v>27</v>
      </c>
      <c r="J889" t="s">
        <v>57</v>
      </c>
      <c r="K889">
        <v>1</v>
      </c>
      <c r="L889">
        <v>83</v>
      </c>
      <c r="M889" t="s">
        <v>42</v>
      </c>
      <c r="N889" t="s">
        <v>59</v>
      </c>
    </row>
    <row r="890" spans="1:14" x14ac:dyDescent="0.3">
      <c r="A890">
        <v>56030978</v>
      </c>
      <c r="B890" t="s">
        <v>958</v>
      </c>
      <c r="C890" t="s">
        <v>24</v>
      </c>
      <c r="D890" s="1">
        <v>45288</v>
      </c>
      <c r="E890">
        <v>919</v>
      </c>
      <c r="F890" t="s">
        <v>39</v>
      </c>
      <c r="G890" t="s">
        <v>55</v>
      </c>
      <c r="H890" t="s">
        <v>81</v>
      </c>
      <c r="I890" t="s">
        <v>19</v>
      </c>
      <c r="J890" t="s">
        <v>57</v>
      </c>
      <c r="K890">
        <v>1</v>
      </c>
      <c r="L890">
        <v>25</v>
      </c>
      <c r="M890" t="s">
        <v>21</v>
      </c>
      <c r="N890" t="s">
        <v>46</v>
      </c>
    </row>
    <row r="891" spans="1:14" x14ac:dyDescent="0.3">
      <c r="A891">
        <v>49061138</v>
      </c>
      <c r="B891" t="s">
        <v>959</v>
      </c>
      <c r="C891" t="s">
        <v>54</v>
      </c>
      <c r="D891" s="1">
        <v>45345</v>
      </c>
      <c r="E891">
        <v>11414</v>
      </c>
      <c r="F891" t="s">
        <v>16</v>
      </c>
      <c r="G891" t="s">
        <v>32</v>
      </c>
      <c r="H891" t="s">
        <v>18</v>
      </c>
      <c r="I891" t="s">
        <v>34</v>
      </c>
      <c r="J891" t="s">
        <v>52</v>
      </c>
      <c r="K891">
        <v>0</v>
      </c>
      <c r="L891">
        <v>40</v>
      </c>
      <c r="M891" t="s">
        <v>65</v>
      </c>
      <c r="N891" t="s">
        <v>59</v>
      </c>
    </row>
    <row r="892" spans="1:14" x14ac:dyDescent="0.3">
      <c r="A892">
        <v>87995417</v>
      </c>
      <c r="B892" t="s">
        <v>960</v>
      </c>
      <c r="C892" t="s">
        <v>101</v>
      </c>
      <c r="D892" s="1">
        <v>45525</v>
      </c>
      <c r="E892">
        <v>23264</v>
      </c>
      <c r="F892" t="s">
        <v>50</v>
      </c>
      <c r="G892" t="s">
        <v>17</v>
      </c>
      <c r="H892" t="s">
        <v>81</v>
      </c>
      <c r="I892" t="s">
        <v>34</v>
      </c>
      <c r="J892" t="s">
        <v>28</v>
      </c>
      <c r="K892">
        <v>0</v>
      </c>
      <c r="L892">
        <v>45</v>
      </c>
      <c r="M892" t="s">
        <v>29</v>
      </c>
      <c r="N892" t="s">
        <v>22</v>
      </c>
    </row>
    <row r="893" spans="1:14" x14ac:dyDescent="0.3">
      <c r="A893">
        <v>36608792</v>
      </c>
      <c r="B893" t="s">
        <v>961</v>
      </c>
      <c r="C893" t="s">
        <v>38</v>
      </c>
      <c r="D893" s="1">
        <v>45471</v>
      </c>
      <c r="E893">
        <v>22626</v>
      </c>
      <c r="F893" t="s">
        <v>39</v>
      </c>
      <c r="G893" t="s">
        <v>25</v>
      </c>
      <c r="H893" t="s">
        <v>51</v>
      </c>
      <c r="I893" t="s">
        <v>27</v>
      </c>
      <c r="J893" t="s">
        <v>57</v>
      </c>
      <c r="K893">
        <v>1</v>
      </c>
      <c r="L893">
        <v>52</v>
      </c>
      <c r="M893" t="s">
        <v>42</v>
      </c>
      <c r="N893" t="s">
        <v>48</v>
      </c>
    </row>
    <row r="894" spans="1:14" x14ac:dyDescent="0.3">
      <c r="A894">
        <v>92815995</v>
      </c>
      <c r="B894" t="s">
        <v>962</v>
      </c>
      <c r="C894" t="s">
        <v>75</v>
      </c>
      <c r="D894" s="1">
        <v>45488</v>
      </c>
      <c r="E894">
        <v>13514</v>
      </c>
      <c r="F894" t="s">
        <v>61</v>
      </c>
      <c r="G894" t="s">
        <v>55</v>
      </c>
      <c r="H894" t="s">
        <v>62</v>
      </c>
      <c r="I894" t="s">
        <v>27</v>
      </c>
      <c r="J894" t="s">
        <v>35</v>
      </c>
      <c r="K894">
        <v>1</v>
      </c>
      <c r="L894">
        <v>30</v>
      </c>
      <c r="M894" t="s">
        <v>65</v>
      </c>
      <c r="N894" t="s">
        <v>89</v>
      </c>
    </row>
    <row r="895" spans="1:14" x14ac:dyDescent="0.3">
      <c r="A895">
        <v>48840379</v>
      </c>
      <c r="B895" t="s">
        <v>963</v>
      </c>
      <c r="C895" t="s">
        <v>45</v>
      </c>
      <c r="D895" s="1">
        <v>45597</v>
      </c>
      <c r="E895">
        <v>24816</v>
      </c>
      <c r="F895" t="s">
        <v>61</v>
      </c>
      <c r="G895" t="s">
        <v>17</v>
      </c>
      <c r="H895" t="s">
        <v>62</v>
      </c>
      <c r="I895" t="s">
        <v>72</v>
      </c>
      <c r="J895" t="s">
        <v>68</v>
      </c>
      <c r="K895">
        <v>0</v>
      </c>
      <c r="L895">
        <v>94</v>
      </c>
      <c r="M895" t="s">
        <v>58</v>
      </c>
      <c r="N895" t="s">
        <v>73</v>
      </c>
    </row>
    <row r="896" spans="1:14" x14ac:dyDescent="0.3">
      <c r="A896">
        <v>58077967</v>
      </c>
      <c r="B896" t="s">
        <v>964</v>
      </c>
      <c r="C896" t="s">
        <v>38</v>
      </c>
      <c r="D896" s="1">
        <v>45281</v>
      </c>
      <c r="E896">
        <v>24050</v>
      </c>
      <c r="F896" t="s">
        <v>39</v>
      </c>
      <c r="G896" t="s">
        <v>25</v>
      </c>
      <c r="H896" t="s">
        <v>62</v>
      </c>
      <c r="I896" t="s">
        <v>19</v>
      </c>
      <c r="J896" t="s">
        <v>68</v>
      </c>
      <c r="K896">
        <v>0</v>
      </c>
      <c r="L896">
        <v>69</v>
      </c>
      <c r="M896" t="s">
        <v>21</v>
      </c>
      <c r="N896" t="s">
        <v>63</v>
      </c>
    </row>
    <row r="897" spans="1:14" x14ac:dyDescent="0.3">
      <c r="A897">
        <v>45877763</v>
      </c>
      <c r="B897" t="s">
        <v>965</v>
      </c>
      <c r="C897" t="s">
        <v>101</v>
      </c>
      <c r="D897" s="1">
        <v>45497</v>
      </c>
      <c r="E897">
        <v>22050</v>
      </c>
      <c r="F897" t="s">
        <v>61</v>
      </c>
      <c r="G897" t="s">
        <v>17</v>
      </c>
      <c r="H897" t="s">
        <v>56</v>
      </c>
      <c r="I897" t="s">
        <v>27</v>
      </c>
      <c r="J897" t="s">
        <v>52</v>
      </c>
      <c r="K897">
        <v>0</v>
      </c>
      <c r="L897">
        <v>47</v>
      </c>
      <c r="M897" t="s">
        <v>21</v>
      </c>
      <c r="N897" t="s">
        <v>43</v>
      </c>
    </row>
    <row r="898" spans="1:14" x14ac:dyDescent="0.3">
      <c r="A898">
        <v>49422966</v>
      </c>
      <c r="B898" t="s">
        <v>966</v>
      </c>
      <c r="C898" t="s">
        <v>24</v>
      </c>
      <c r="D898" s="1">
        <v>45449</v>
      </c>
      <c r="E898">
        <v>7965</v>
      </c>
      <c r="F898" t="s">
        <v>39</v>
      </c>
      <c r="G898" t="s">
        <v>25</v>
      </c>
      <c r="H898" t="s">
        <v>56</v>
      </c>
      <c r="I898" t="s">
        <v>27</v>
      </c>
      <c r="J898" t="s">
        <v>79</v>
      </c>
      <c r="K898">
        <v>1</v>
      </c>
      <c r="L898">
        <v>64</v>
      </c>
      <c r="M898" t="s">
        <v>47</v>
      </c>
      <c r="N898" t="s">
        <v>63</v>
      </c>
    </row>
    <row r="899" spans="1:14" x14ac:dyDescent="0.3">
      <c r="A899">
        <v>40344854</v>
      </c>
      <c r="B899" t="s">
        <v>967</v>
      </c>
      <c r="C899" t="s">
        <v>77</v>
      </c>
      <c r="D899" s="1">
        <v>45531</v>
      </c>
      <c r="E899">
        <v>14035</v>
      </c>
      <c r="F899" t="s">
        <v>39</v>
      </c>
      <c r="G899" t="s">
        <v>71</v>
      </c>
      <c r="H899" t="s">
        <v>56</v>
      </c>
      <c r="I899" t="s">
        <v>34</v>
      </c>
      <c r="J899" t="s">
        <v>35</v>
      </c>
      <c r="K899">
        <v>1</v>
      </c>
      <c r="L899">
        <v>61</v>
      </c>
      <c r="M899" t="s">
        <v>21</v>
      </c>
      <c r="N899" t="s">
        <v>63</v>
      </c>
    </row>
    <row r="900" spans="1:14" x14ac:dyDescent="0.3">
      <c r="A900">
        <v>48518201</v>
      </c>
      <c r="B900" t="s">
        <v>968</v>
      </c>
      <c r="C900" t="s">
        <v>70</v>
      </c>
      <c r="D900" s="1">
        <v>45548</v>
      </c>
      <c r="E900">
        <v>7150</v>
      </c>
      <c r="F900" t="s">
        <v>39</v>
      </c>
      <c r="G900" t="s">
        <v>71</v>
      </c>
      <c r="H900" t="s">
        <v>18</v>
      </c>
      <c r="I900" t="s">
        <v>34</v>
      </c>
      <c r="J900" t="s">
        <v>20</v>
      </c>
      <c r="K900">
        <v>0</v>
      </c>
      <c r="L900">
        <v>13</v>
      </c>
      <c r="M900" t="s">
        <v>42</v>
      </c>
      <c r="N900" t="s">
        <v>89</v>
      </c>
    </row>
    <row r="901" spans="1:14" x14ac:dyDescent="0.3">
      <c r="A901">
        <v>33093121</v>
      </c>
      <c r="B901" t="s">
        <v>969</v>
      </c>
      <c r="C901" t="s">
        <v>70</v>
      </c>
      <c r="D901" s="1">
        <v>45633</v>
      </c>
      <c r="E901">
        <v>23597</v>
      </c>
      <c r="F901" t="s">
        <v>39</v>
      </c>
      <c r="G901" t="s">
        <v>17</v>
      </c>
      <c r="H901" t="s">
        <v>40</v>
      </c>
      <c r="I901" t="s">
        <v>27</v>
      </c>
      <c r="J901" t="s">
        <v>20</v>
      </c>
      <c r="K901">
        <v>0</v>
      </c>
      <c r="L901">
        <v>94</v>
      </c>
      <c r="M901" t="s">
        <v>21</v>
      </c>
      <c r="N901" t="s">
        <v>87</v>
      </c>
    </row>
    <row r="902" spans="1:14" x14ac:dyDescent="0.3">
      <c r="A902">
        <v>76184043</v>
      </c>
      <c r="B902" t="s">
        <v>970</v>
      </c>
      <c r="C902" t="s">
        <v>54</v>
      </c>
      <c r="D902" s="1">
        <v>45567</v>
      </c>
      <c r="E902">
        <v>6846</v>
      </c>
      <c r="F902" t="s">
        <v>61</v>
      </c>
      <c r="G902" t="s">
        <v>25</v>
      </c>
      <c r="H902" t="s">
        <v>33</v>
      </c>
      <c r="I902" t="s">
        <v>19</v>
      </c>
      <c r="J902" t="s">
        <v>35</v>
      </c>
      <c r="K902">
        <v>0</v>
      </c>
      <c r="L902">
        <v>20</v>
      </c>
      <c r="M902" t="s">
        <v>47</v>
      </c>
      <c r="N902" t="s">
        <v>73</v>
      </c>
    </row>
    <row r="903" spans="1:14" x14ac:dyDescent="0.3">
      <c r="A903">
        <v>28991995</v>
      </c>
      <c r="B903" t="s">
        <v>971</v>
      </c>
      <c r="C903" t="s">
        <v>77</v>
      </c>
      <c r="D903" s="1">
        <v>45494</v>
      </c>
      <c r="E903">
        <v>10947</v>
      </c>
      <c r="F903" t="s">
        <v>16</v>
      </c>
      <c r="G903" t="s">
        <v>17</v>
      </c>
      <c r="H903" t="s">
        <v>56</v>
      </c>
      <c r="I903" t="s">
        <v>19</v>
      </c>
      <c r="J903" t="s">
        <v>35</v>
      </c>
      <c r="K903">
        <v>0</v>
      </c>
      <c r="L903">
        <v>28</v>
      </c>
      <c r="M903" t="s">
        <v>42</v>
      </c>
      <c r="N903" t="s">
        <v>73</v>
      </c>
    </row>
    <row r="904" spans="1:14" x14ac:dyDescent="0.3">
      <c r="A904">
        <v>27293877</v>
      </c>
      <c r="B904" t="s">
        <v>972</v>
      </c>
      <c r="C904" t="s">
        <v>31</v>
      </c>
      <c r="D904" s="1">
        <v>45586</v>
      </c>
      <c r="E904">
        <v>11653</v>
      </c>
      <c r="F904" t="s">
        <v>39</v>
      </c>
      <c r="G904" t="s">
        <v>71</v>
      </c>
      <c r="H904" t="s">
        <v>18</v>
      </c>
      <c r="I904" t="s">
        <v>34</v>
      </c>
      <c r="J904" t="s">
        <v>41</v>
      </c>
      <c r="K904">
        <v>0</v>
      </c>
      <c r="L904">
        <v>63</v>
      </c>
      <c r="M904" t="s">
        <v>29</v>
      </c>
      <c r="N904" t="s">
        <v>59</v>
      </c>
    </row>
    <row r="905" spans="1:14" x14ac:dyDescent="0.3">
      <c r="A905">
        <v>56349601</v>
      </c>
      <c r="B905" t="s">
        <v>973</v>
      </c>
      <c r="C905" t="s">
        <v>24</v>
      </c>
      <c r="D905" s="1">
        <v>45604</v>
      </c>
      <c r="E905">
        <v>15031</v>
      </c>
      <c r="F905" t="s">
        <v>39</v>
      </c>
      <c r="G905" t="s">
        <v>32</v>
      </c>
      <c r="H905" t="s">
        <v>40</v>
      </c>
      <c r="I905" t="s">
        <v>34</v>
      </c>
      <c r="J905" t="s">
        <v>57</v>
      </c>
      <c r="K905">
        <v>1</v>
      </c>
      <c r="L905">
        <v>62</v>
      </c>
      <c r="M905" t="s">
        <v>58</v>
      </c>
      <c r="N905" t="s">
        <v>48</v>
      </c>
    </row>
    <row r="906" spans="1:14" x14ac:dyDescent="0.3">
      <c r="A906">
        <v>47075519</v>
      </c>
      <c r="B906" t="s">
        <v>974</v>
      </c>
      <c r="C906" t="s">
        <v>101</v>
      </c>
      <c r="D906" s="1">
        <v>45639</v>
      </c>
      <c r="E906">
        <v>21851</v>
      </c>
      <c r="F906" t="s">
        <v>16</v>
      </c>
      <c r="G906" t="s">
        <v>32</v>
      </c>
      <c r="H906" t="s">
        <v>62</v>
      </c>
      <c r="I906" t="s">
        <v>27</v>
      </c>
      <c r="J906" t="s">
        <v>20</v>
      </c>
      <c r="K906">
        <v>1</v>
      </c>
      <c r="L906">
        <v>57</v>
      </c>
      <c r="M906" t="s">
        <v>29</v>
      </c>
      <c r="N906" t="s">
        <v>48</v>
      </c>
    </row>
    <row r="907" spans="1:14" x14ac:dyDescent="0.3">
      <c r="A907">
        <v>73480634</v>
      </c>
      <c r="B907" t="s">
        <v>975</v>
      </c>
      <c r="C907" t="s">
        <v>24</v>
      </c>
      <c r="D907" s="1">
        <v>45589</v>
      </c>
      <c r="E907">
        <v>5004</v>
      </c>
      <c r="F907" t="s">
        <v>16</v>
      </c>
      <c r="G907" t="s">
        <v>25</v>
      </c>
      <c r="H907" t="s">
        <v>62</v>
      </c>
      <c r="I907" t="s">
        <v>19</v>
      </c>
      <c r="J907" t="s">
        <v>85</v>
      </c>
      <c r="K907">
        <v>1</v>
      </c>
      <c r="L907">
        <v>17</v>
      </c>
      <c r="M907" t="s">
        <v>58</v>
      </c>
      <c r="N907" t="s">
        <v>59</v>
      </c>
    </row>
    <row r="908" spans="1:14" x14ac:dyDescent="0.3">
      <c r="A908">
        <v>35310518</v>
      </c>
      <c r="B908" t="s">
        <v>976</v>
      </c>
      <c r="C908" t="s">
        <v>31</v>
      </c>
      <c r="D908" s="1">
        <v>45324</v>
      </c>
      <c r="E908">
        <v>4642</v>
      </c>
      <c r="F908" t="s">
        <v>16</v>
      </c>
      <c r="G908" t="s">
        <v>17</v>
      </c>
      <c r="H908" t="s">
        <v>103</v>
      </c>
      <c r="I908" t="s">
        <v>19</v>
      </c>
      <c r="J908" t="s">
        <v>57</v>
      </c>
      <c r="K908">
        <v>0</v>
      </c>
      <c r="L908">
        <v>16</v>
      </c>
      <c r="M908" t="s">
        <v>42</v>
      </c>
      <c r="N908" t="s">
        <v>46</v>
      </c>
    </row>
    <row r="909" spans="1:14" x14ac:dyDescent="0.3">
      <c r="A909">
        <v>84628232</v>
      </c>
      <c r="B909" t="s">
        <v>977</v>
      </c>
      <c r="C909" t="s">
        <v>15</v>
      </c>
      <c r="D909" s="1">
        <v>45459</v>
      </c>
      <c r="E909">
        <v>10219</v>
      </c>
      <c r="F909" t="s">
        <v>61</v>
      </c>
      <c r="G909" t="s">
        <v>71</v>
      </c>
      <c r="H909" t="s">
        <v>46</v>
      </c>
      <c r="I909" t="s">
        <v>72</v>
      </c>
      <c r="J909" t="s">
        <v>35</v>
      </c>
      <c r="K909">
        <v>0</v>
      </c>
      <c r="L909">
        <v>66</v>
      </c>
      <c r="M909" t="s">
        <v>58</v>
      </c>
      <c r="N909" t="s">
        <v>63</v>
      </c>
    </row>
    <row r="910" spans="1:14" x14ac:dyDescent="0.3">
      <c r="A910">
        <v>76257765</v>
      </c>
      <c r="B910" t="s">
        <v>978</v>
      </c>
      <c r="C910" t="s">
        <v>31</v>
      </c>
      <c r="D910" s="1">
        <v>45357</v>
      </c>
      <c r="E910">
        <v>3223</v>
      </c>
      <c r="F910" t="s">
        <v>39</v>
      </c>
      <c r="G910" t="s">
        <v>17</v>
      </c>
      <c r="H910" t="s">
        <v>51</v>
      </c>
      <c r="I910" t="s">
        <v>19</v>
      </c>
      <c r="J910" t="s">
        <v>28</v>
      </c>
      <c r="K910">
        <v>0</v>
      </c>
      <c r="L910">
        <v>54</v>
      </c>
      <c r="M910" t="s">
        <v>42</v>
      </c>
      <c r="N910" t="s">
        <v>22</v>
      </c>
    </row>
    <row r="911" spans="1:14" x14ac:dyDescent="0.3">
      <c r="A911">
        <v>80742105</v>
      </c>
      <c r="B911" t="s">
        <v>979</v>
      </c>
      <c r="C911" t="s">
        <v>54</v>
      </c>
      <c r="D911" s="1">
        <v>45290</v>
      </c>
      <c r="E911">
        <v>18187</v>
      </c>
      <c r="F911" t="s">
        <v>16</v>
      </c>
      <c r="G911" t="s">
        <v>25</v>
      </c>
      <c r="H911" t="s">
        <v>56</v>
      </c>
      <c r="I911" t="s">
        <v>27</v>
      </c>
      <c r="J911" t="s">
        <v>52</v>
      </c>
      <c r="K911">
        <v>0</v>
      </c>
      <c r="L911">
        <v>73</v>
      </c>
      <c r="M911" t="s">
        <v>29</v>
      </c>
      <c r="N911" t="s">
        <v>63</v>
      </c>
    </row>
    <row r="912" spans="1:14" x14ac:dyDescent="0.3">
      <c r="A912">
        <v>36382905</v>
      </c>
      <c r="B912" t="s">
        <v>980</v>
      </c>
      <c r="C912" t="s">
        <v>31</v>
      </c>
      <c r="D912" s="1">
        <v>45278</v>
      </c>
      <c r="E912">
        <v>10092</v>
      </c>
      <c r="F912" t="s">
        <v>39</v>
      </c>
      <c r="G912" t="s">
        <v>32</v>
      </c>
      <c r="H912" t="s">
        <v>40</v>
      </c>
      <c r="I912" t="s">
        <v>27</v>
      </c>
      <c r="J912" t="s">
        <v>79</v>
      </c>
      <c r="K912">
        <v>1</v>
      </c>
      <c r="L912">
        <v>23</v>
      </c>
      <c r="M912" t="s">
        <v>21</v>
      </c>
      <c r="N912" t="s">
        <v>63</v>
      </c>
    </row>
    <row r="913" spans="1:14" x14ac:dyDescent="0.3">
      <c r="A913">
        <v>89595991</v>
      </c>
      <c r="B913" t="s">
        <v>981</v>
      </c>
      <c r="C913" t="s">
        <v>77</v>
      </c>
      <c r="D913" s="1">
        <v>45286</v>
      </c>
      <c r="E913">
        <v>9361</v>
      </c>
      <c r="F913" t="s">
        <v>16</v>
      </c>
      <c r="G913" t="s">
        <v>17</v>
      </c>
      <c r="H913" t="s">
        <v>56</v>
      </c>
      <c r="I913" t="s">
        <v>27</v>
      </c>
      <c r="J913" t="s">
        <v>79</v>
      </c>
      <c r="K913">
        <v>0</v>
      </c>
      <c r="L913">
        <v>54</v>
      </c>
      <c r="M913" t="s">
        <v>21</v>
      </c>
      <c r="N913" t="s">
        <v>89</v>
      </c>
    </row>
    <row r="914" spans="1:14" x14ac:dyDescent="0.3">
      <c r="A914">
        <v>33499029</v>
      </c>
      <c r="B914" t="s">
        <v>982</v>
      </c>
      <c r="C914" t="s">
        <v>54</v>
      </c>
      <c r="D914" s="1">
        <v>45622</v>
      </c>
      <c r="E914">
        <v>20324</v>
      </c>
      <c r="F914" t="s">
        <v>61</v>
      </c>
      <c r="G914" t="s">
        <v>55</v>
      </c>
      <c r="H914" t="s">
        <v>18</v>
      </c>
      <c r="I914" t="s">
        <v>27</v>
      </c>
      <c r="J914" t="s">
        <v>68</v>
      </c>
      <c r="K914">
        <v>1</v>
      </c>
      <c r="L914">
        <v>74</v>
      </c>
      <c r="M914" t="s">
        <v>29</v>
      </c>
      <c r="N914" t="s">
        <v>89</v>
      </c>
    </row>
    <row r="915" spans="1:14" x14ac:dyDescent="0.3">
      <c r="A915">
        <v>42303312</v>
      </c>
      <c r="B915" t="s">
        <v>983</v>
      </c>
      <c r="C915" t="s">
        <v>75</v>
      </c>
      <c r="D915" s="1">
        <v>45419</v>
      </c>
      <c r="E915">
        <v>15241</v>
      </c>
      <c r="F915" t="s">
        <v>50</v>
      </c>
      <c r="G915" t="s">
        <v>17</v>
      </c>
      <c r="H915" t="s">
        <v>46</v>
      </c>
      <c r="I915" t="s">
        <v>27</v>
      </c>
      <c r="J915" t="s">
        <v>85</v>
      </c>
      <c r="K915">
        <v>0</v>
      </c>
      <c r="L915">
        <v>90</v>
      </c>
      <c r="M915" t="s">
        <v>21</v>
      </c>
      <c r="N915" t="s">
        <v>46</v>
      </c>
    </row>
    <row r="916" spans="1:14" x14ac:dyDescent="0.3">
      <c r="A916">
        <v>64840600</v>
      </c>
      <c r="B916" t="s">
        <v>984</v>
      </c>
      <c r="C916" t="s">
        <v>38</v>
      </c>
      <c r="D916" s="1">
        <v>45360</v>
      </c>
      <c r="E916">
        <v>23695</v>
      </c>
      <c r="F916" t="s">
        <v>16</v>
      </c>
      <c r="G916" t="s">
        <v>32</v>
      </c>
      <c r="H916" t="s">
        <v>40</v>
      </c>
      <c r="I916" t="s">
        <v>34</v>
      </c>
      <c r="J916" t="s">
        <v>85</v>
      </c>
      <c r="K916">
        <v>0</v>
      </c>
      <c r="L916">
        <v>77</v>
      </c>
      <c r="M916" t="s">
        <v>47</v>
      </c>
      <c r="N916" t="s">
        <v>36</v>
      </c>
    </row>
    <row r="917" spans="1:14" x14ac:dyDescent="0.3">
      <c r="A917">
        <v>26623808</v>
      </c>
      <c r="B917" t="s">
        <v>985</v>
      </c>
      <c r="C917" t="s">
        <v>45</v>
      </c>
      <c r="D917" s="1">
        <v>45623</v>
      </c>
      <c r="E917">
        <v>4535</v>
      </c>
      <c r="F917" t="s">
        <v>61</v>
      </c>
      <c r="G917" t="s">
        <v>71</v>
      </c>
      <c r="H917" t="s">
        <v>46</v>
      </c>
      <c r="I917" t="s">
        <v>34</v>
      </c>
      <c r="J917" t="s">
        <v>85</v>
      </c>
      <c r="K917">
        <v>0</v>
      </c>
      <c r="L917">
        <v>48</v>
      </c>
      <c r="M917" t="s">
        <v>42</v>
      </c>
      <c r="N917" t="s">
        <v>22</v>
      </c>
    </row>
    <row r="918" spans="1:14" x14ac:dyDescent="0.3">
      <c r="A918">
        <v>85480160</v>
      </c>
      <c r="B918" t="s">
        <v>986</v>
      </c>
      <c r="C918" t="s">
        <v>54</v>
      </c>
      <c r="D918" s="1">
        <v>45320</v>
      </c>
      <c r="E918">
        <v>4601</v>
      </c>
      <c r="F918" t="s">
        <v>39</v>
      </c>
      <c r="G918" t="s">
        <v>17</v>
      </c>
      <c r="H918" t="s">
        <v>103</v>
      </c>
      <c r="I918" t="s">
        <v>72</v>
      </c>
      <c r="J918" t="s">
        <v>28</v>
      </c>
      <c r="K918">
        <v>1</v>
      </c>
      <c r="L918">
        <v>43</v>
      </c>
      <c r="M918" t="s">
        <v>29</v>
      </c>
      <c r="N918" t="s">
        <v>43</v>
      </c>
    </row>
    <row r="919" spans="1:14" x14ac:dyDescent="0.3">
      <c r="A919">
        <v>42542415</v>
      </c>
      <c r="B919" t="s">
        <v>987</v>
      </c>
      <c r="C919" t="s">
        <v>31</v>
      </c>
      <c r="D919" s="1">
        <v>45421</v>
      </c>
      <c r="E919">
        <v>17285</v>
      </c>
      <c r="F919" t="s">
        <v>16</v>
      </c>
      <c r="G919" t="s">
        <v>17</v>
      </c>
      <c r="H919" t="s">
        <v>51</v>
      </c>
      <c r="I919" t="s">
        <v>27</v>
      </c>
      <c r="J919" t="s">
        <v>35</v>
      </c>
      <c r="K919">
        <v>0</v>
      </c>
      <c r="L919">
        <v>26</v>
      </c>
      <c r="M919" t="s">
        <v>29</v>
      </c>
      <c r="N919" t="s">
        <v>48</v>
      </c>
    </row>
    <row r="920" spans="1:14" x14ac:dyDescent="0.3">
      <c r="A920">
        <v>47492141</v>
      </c>
      <c r="B920" t="s">
        <v>988</v>
      </c>
      <c r="C920" t="s">
        <v>70</v>
      </c>
      <c r="D920" s="1">
        <v>45634</v>
      </c>
      <c r="E920">
        <v>14452</v>
      </c>
      <c r="F920" t="s">
        <v>16</v>
      </c>
      <c r="G920" t="s">
        <v>17</v>
      </c>
      <c r="H920" t="s">
        <v>81</v>
      </c>
      <c r="I920" t="s">
        <v>27</v>
      </c>
      <c r="J920" t="s">
        <v>52</v>
      </c>
      <c r="K920">
        <v>0</v>
      </c>
      <c r="L920">
        <v>26</v>
      </c>
      <c r="M920" t="s">
        <v>47</v>
      </c>
      <c r="N920" t="s">
        <v>36</v>
      </c>
    </row>
    <row r="921" spans="1:14" x14ac:dyDescent="0.3">
      <c r="A921">
        <v>60420300</v>
      </c>
      <c r="B921" t="s">
        <v>989</v>
      </c>
      <c r="C921" t="s">
        <v>24</v>
      </c>
      <c r="D921" s="1">
        <v>45537</v>
      </c>
      <c r="E921">
        <v>8161</v>
      </c>
      <c r="F921" t="s">
        <v>61</v>
      </c>
      <c r="G921" t="s">
        <v>32</v>
      </c>
      <c r="H921" t="s">
        <v>56</v>
      </c>
      <c r="I921" t="s">
        <v>72</v>
      </c>
      <c r="J921" t="s">
        <v>20</v>
      </c>
      <c r="K921">
        <v>0</v>
      </c>
      <c r="L921">
        <v>70</v>
      </c>
      <c r="M921" t="s">
        <v>29</v>
      </c>
      <c r="N921" t="s">
        <v>46</v>
      </c>
    </row>
    <row r="922" spans="1:14" x14ac:dyDescent="0.3">
      <c r="A922">
        <v>18238848</v>
      </c>
      <c r="B922" t="s">
        <v>990</v>
      </c>
      <c r="C922" t="s">
        <v>45</v>
      </c>
      <c r="D922" s="1">
        <v>45587</v>
      </c>
      <c r="E922">
        <v>6528</v>
      </c>
      <c r="F922" t="s">
        <v>39</v>
      </c>
      <c r="G922" t="s">
        <v>17</v>
      </c>
      <c r="H922" t="s">
        <v>62</v>
      </c>
      <c r="I922" t="s">
        <v>19</v>
      </c>
      <c r="J922" t="s">
        <v>57</v>
      </c>
      <c r="K922">
        <v>0</v>
      </c>
      <c r="L922">
        <v>47</v>
      </c>
      <c r="M922" t="s">
        <v>47</v>
      </c>
      <c r="N922" t="s">
        <v>46</v>
      </c>
    </row>
    <row r="923" spans="1:14" x14ac:dyDescent="0.3">
      <c r="A923">
        <v>97173283</v>
      </c>
      <c r="B923" t="s">
        <v>991</v>
      </c>
      <c r="C923" t="s">
        <v>70</v>
      </c>
      <c r="D923" s="1">
        <v>45389</v>
      </c>
      <c r="E923">
        <v>1372</v>
      </c>
      <c r="F923" t="s">
        <v>39</v>
      </c>
      <c r="G923" t="s">
        <v>17</v>
      </c>
      <c r="H923" t="s">
        <v>81</v>
      </c>
      <c r="I923" t="s">
        <v>34</v>
      </c>
      <c r="J923" t="s">
        <v>52</v>
      </c>
      <c r="K923">
        <v>1</v>
      </c>
      <c r="L923">
        <v>10</v>
      </c>
      <c r="M923" t="s">
        <v>58</v>
      </c>
      <c r="N923" t="s">
        <v>89</v>
      </c>
    </row>
    <row r="924" spans="1:14" x14ac:dyDescent="0.3">
      <c r="A924">
        <v>79411431</v>
      </c>
      <c r="B924" t="s">
        <v>992</v>
      </c>
      <c r="C924" t="s">
        <v>38</v>
      </c>
      <c r="D924" s="1">
        <v>45434</v>
      </c>
      <c r="E924">
        <v>4478</v>
      </c>
      <c r="F924" t="s">
        <v>39</v>
      </c>
      <c r="G924" t="s">
        <v>25</v>
      </c>
      <c r="H924" t="s">
        <v>56</v>
      </c>
      <c r="I924" t="s">
        <v>72</v>
      </c>
      <c r="J924" t="s">
        <v>52</v>
      </c>
      <c r="K924">
        <v>1</v>
      </c>
      <c r="L924">
        <v>74</v>
      </c>
      <c r="M924" t="s">
        <v>65</v>
      </c>
      <c r="N924" t="s">
        <v>87</v>
      </c>
    </row>
    <row r="925" spans="1:14" x14ac:dyDescent="0.3">
      <c r="A925">
        <v>12785496</v>
      </c>
      <c r="B925" t="s">
        <v>993</v>
      </c>
      <c r="C925" t="s">
        <v>38</v>
      </c>
      <c r="D925" s="1">
        <v>45605</v>
      </c>
      <c r="E925">
        <v>3793</v>
      </c>
      <c r="F925" t="s">
        <v>16</v>
      </c>
      <c r="G925" t="s">
        <v>32</v>
      </c>
      <c r="H925" t="s">
        <v>103</v>
      </c>
      <c r="I925" t="s">
        <v>72</v>
      </c>
      <c r="J925" t="s">
        <v>20</v>
      </c>
      <c r="K925">
        <v>0</v>
      </c>
      <c r="L925">
        <v>19</v>
      </c>
      <c r="M925" t="s">
        <v>58</v>
      </c>
      <c r="N925" t="s">
        <v>36</v>
      </c>
    </row>
    <row r="926" spans="1:14" x14ac:dyDescent="0.3">
      <c r="A926">
        <v>87779931</v>
      </c>
      <c r="B926" t="s">
        <v>994</v>
      </c>
      <c r="C926" t="s">
        <v>70</v>
      </c>
      <c r="D926" s="1">
        <v>45386</v>
      </c>
      <c r="E926">
        <v>19588</v>
      </c>
      <c r="F926" t="s">
        <v>16</v>
      </c>
      <c r="G926" t="s">
        <v>17</v>
      </c>
      <c r="H926" t="s">
        <v>40</v>
      </c>
      <c r="I926" t="s">
        <v>34</v>
      </c>
      <c r="J926" t="s">
        <v>85</v>
      </c>
      <c r="K926">
        <v>0</v>
      </c>
      <c r="L926">
        <v>27</v>
      </c>
      <c r="M926" t="s">
        <v>21</v>
      </c>
      <c r="N926" t="s">
        <v>89</v>
      </c>
    </row>
    <row r="927" spans="1:14" x14ac:dyDescent="0.3">
      <c r="A927">
        <v>62701138</v>
      </c>
      <c r="B927" t="s">
        <v>995</v>
      </c>
      <c r="C927" t="s">
        <v>75</v>
      </c>
      <c r="D927" s="1">
        <v>45406</v>
      </c>
      <c r="E927">
        <v>18939</v>
      </c>
      <c r="F927" t="s">
        <v>16</v>
      </c>
      <c r="G927" t="s">
        <v>25</v>
      </c>
      <c r="H927" t="s">
        <v>18</v>
      </c>
      <c r="I927" t="s">
        <v>19</v>
      </c>
      <c r="J927" t="s">
        <v>20</v>
      </c>
      <c r="K927">
        <v>1</v>
      </c>
      <c r="L927">
        <v>12</v>
      </c>
      <c r="M927" t="s">
        <v>65</v>
      </c>
      <c r="N927" t="s">
        <v>43</v>
      </c>
    </row>
    <row r="928" spans="1:14" x14ac:dyDescent="0.3">
      <c r="A928">
        <v>28923849</v>
      </c>
      <c r="B928" t="s">
        <v>996</v>
      </c>
      <c r="C928" t="s">
        <v>31</v>
      </c>
      <c r="D928" s="1">
        <v>45606</v>
      </c>
      <c r="E928">
        <v>8373</v>
      </c>
      <c r="F928" t="s">
        <v>16</v>
      </c>
      <c r="G928" t="s">
        <v>55</v>
      </c>
      <c r="H928" t="s">
        <v>26</v>
      </c>
      <c r="I928" t="s">
        <v>72</v>
      </c>
      <c r="J928" t="s">
        <v>57</v>
      </c>
      <c r="K928">
        <v>0</v>
      </c>
      <c r="L928">
        <v>56</v>
      </c>
      <c r="M928" t="s">
        <v>21</v>
      </c>
      <c r="N928" t="s">
        <v>46</v>
      </c>
    </row>
    <row r="929" spans="1:14" x14ac:dyDescent="0.3">
      <c r="A929">
        <v>19386380</v>
      </c>
      <c r="B929" t="s">
        <v>997</v>
      </c>
      <c r="C929" t="s">
        <v>54</v>
      </c>
      <c r="D929" s="1">
        <v>45399</v>
      </c>
      <c r="E929">
        <v>10049</v>
      </c>
      <c r="F929" t="s">
        <v>39</v>
      </c>
      <c r="G929" t="s">
        <v>17</v>
      </c>
      <c r="H929" t="s">
        <v>81</v>
      </c>
      <c r="I929" t="s">
        <v>19</v>
      </c>
      <c r="J929" t="s">
        <v>85</v>
      </c>
      <c r="K929">
        <v>0</v>
      </c>
      <c r="L929">
        <v>61</v>
      </c>
      <c r="M929" t="s">
        <v>58</v>
      </c>
      <c r="N929" t="s">
        <v>89</v>
      </c>
    </row>
    <row r="930" spans="1:14" x14ac:dyDescent="0.3">
      <c r="A930">
        <v>79083625</v>
      </c>
      <c r="B930" t="s">
        <v>998</v>
      </c>
      <c r="C930" t="s">
        <v>70</v>
      </c>
      <c r="D930" s="1">
        <v>45362</v>
      </c>
      <c r="E930">
        <v>20832</v>
      </c>
      <c r="F930" t="s">
        <v>16</v>
      </c>
      <c r="G930" t="s">
        <v>25</v>
      </c>
      <c r="H930" t="s">
        <v>40</v>
      </c>
      <c r="I930" t="s">
        <v>19</v>
      </c>
      <c r="J930" t="s">
        <v>85</v>
      </c>
      <c r="K930">
        <v>0</v>
      </c>
      <c r="L930">
        <v>23</v>
      </c>
      <c r="M930" t="s">
        <v>65</v>
      </c>
      <c r="N930" t="s">
        <v>89</v>
      </c>
    </row>
    <row r="931" spans="1:14" x14ac:dyDescent="0.3">
      <c r="A931">
        <v>92670477</v>
      </c>
      <c r="B931" t="s">
        <v>999</v>
      </c>
      <c r="C931" t="s">
        <v>101</v>
      </c>
      <c r="D931" s="1">
        <v>45446</v>
      </c>
      <c r="E931">
        <v>3270</v>
      </c>
      <c r="F931" t="s">
        <v>61</v>
      </c>
      <c r="G931" t="s">
        <v>17</v>
      </c>
      <c r="H931" t="s">
        <v>51</v>
      </c>
      <c r="I931" t="s">
        <v>19</v>
      </c>
      <c r="J931" t="s">
        <v>57</v>
      </c>
      <c r="K931">
        <v>0</v>
      </c>
      <c r="L931">
        <v>83</v>
      </c>
      <c r="M931" t="s">
        <v>29</v>
      </c>
      <c r="N931" t="s">
        <v>22</v>
      </c>
    </row>
    <row r="932" spans="1:14" x14ac:dyDescent="0.3">
      <c r="A932">
        <v>86419140</v>
      </c>
      <c r="B932" t="s">
        <v>1000</v>
      </c>
      <c r="C932" t="s">
        <v>31</v>
      </c>
      <c r="D932" s="1">
        <v>45344</v>
      </c>
      <c r="E932">
        <v>7684</v>
      </c>
      <c r="F932" t="s">
        <v>16</v>
      </c>
      <c r="G932" t="s">
        <v>55</v>
      </c>
      <c r="H932" t="s">
        <v>62</v>
      </c>
      <c r="I932" t="s">
        <v>19</v>
      </c>
      <c r="J932" t="s">
        <v>20</v>
      </c>
      <c r="K932">
        <v>0</v>
      </c>
      <c r="L932">
        <v>40</v>
      </c>
      <c r="M932" t="s">
        <v>65</v>
      </c>
      <c r="N932" t="s">
        <v>22</v>
      </c>
    </row>
    <row r="933" spans="1:14" x14ac:dyDescent="0.3">
      <c r="A933">
        <v>41523019</v>
      </c>
      <c r="B933" t="s">
        <v>1001</v>
      </c>
      <c r="C933" t="s">
        <v>31</v>
      </c>
      <c r="D933" s="1">
        <v>45457</v>
      </c>
      <c r="E933">
        <v>6853</v>
      </c>
      <c r="F933" t="s">
        <v>61</v>
      </c>
      <c r="G933" t="s">
        <v>32</v>
      </c>
      <c r="H933" t="s">
        <v>40</v>
      </c>
      <c r="I933" t="s">
        <v>19</v>
      </c>
      <c r="J933" t="s">
        <v>68</v>
      </c>
      <c r="K933">
        <v>1</v>
      </c>
      <c r="L933">
        <v>75</v>
      </c>
      <c r="M933" t="s">
        <v>29</v>
      </c>
      <c r="N933" t="s">
        <v>36</v>
      </c>
    </row>
    <row r="934" spans="1:14" x14ac:dyDescent="0.3">
      <c r="A934">
        <v>79633301</v>
      </c>
      <c r="B934" t="s">
        <v>1002</v>
      </c>
      <c r="C934" t="s">
        <v>45</v>
      </c>
      <c r="D934" s="1">
        <v>45489</v>
      </c>
      <c r="E934">
        <v>21001</v>
      </c>
      <c r="F934" t="s">
        <v>39</v>
      </c>
      <c r="G934" t="s">
        <v>17</v>
      </c>
      <c r="H934" t="s">
        <v>81</v>
      </c>
      <c r="I934" t="s">
        <v>19</v>
      </c>
      <c r="J934" t="s">
        <v>52</v>
      </c>
      <c r="K934">
        <v>1</v>
      </c>
      <c r="L934">
        <v>37</v>
      </c>
      <c r="M934" t="s">
        <v>47</v>
      </c>
      <c r="N934" t="s">
        <v>22</v>
      </c>
    </row>
    <row r="935" spans="1:14" x14ac:dyDescent="0.3">
      <c r="A935">
        <v>44719066</v>
      </c>
      <c r="B935" t="s">
        <v>1003</v>
      </c>
      <c r="C935" t="s">
        <v>101</v>
      </c>
      <c r="D935" s="1">
        <v>45358</v>
      </c>
      <c r="E935">
        <v>21178</v>
      </c>
      <c r="F935" t="s">
        <v>39</v>
      </c>
      <c r="G935" t="s">
        <v>17</v>
      </c>
      <c r="H935" t="s">
        <v>51</v>
      </c>
      <c r="I935" t="s">
        <v>27</v>
      </c>
      <c r="J935" t="s">
        <v>20</v>
      </c>
      <c r="K935">
        <v>1</v>
      </c>
      <c r="L935">
        <v>74</v>
      </c>
      <c r="M935" t="s">
        <v>42</v>
      </c>
      <c r="N935" t="s">
        <v>89</v>
      </c>
    </row>
    <row r="936" spans="1:14" x14ac:dyDescent="0.3">
      <c r="A936">
        <v>87026094</v>
      </c>
      <c r="B936" t="s">
        <v>1004</v>
      </c>
      <c r="C936" t="s">
        <v>38</v>
      </c>
      <c r="D936" s="1">
        <v>45544</v>
      </c>
      <c r="E936">
        <v>22380</v>
      </c>
      <c r="F936" t="s">
        <v>61</v>
      </c>
      <c r="G936" t="s">
        <v>25</v>
      </c>
      <c r="H936" t="s">
        <v>51</v>
      </c>
      <c r="I936" t="s">
        <v>72</v>
      </c>
      <c r="J936" t="s">
        <v>85</v>
      </c>
      <c r="K936">
        <v>0</v>
      </c>
      <c r="L936">
        <v>19</v>
      </c>
      <c r="M936" t="s">
        <v>47</v>
      </c>
      <c r="N936" t="s">
        <v>63</v>
      </c>
    </row>
    <row r="937" spans="1:14" x14ac:dyDescent="0.3">
      <c r="A937">
        <v>37754644</v>
      </c>
      <c r="B937" t="s">
        <v>1005</v>
      </c>
      <c r="C937" t="s">
        <v>45</v>
      </c>
      <c r="D937" s="1">
        <v>45435</v>
      </c>
      <c r="E937">
        <v>23656</v>
      </c>
      <c r="F937" t="s">
        <v>61</v>
      </c>
      <c r="G937" t="s">
        <v>55</v>
      </c>
      <c r="H937" t="s">
        <v>103</v>
      </c>
      <c r="I937" t="s">
        <v>19</v>
      </c>
      <c r="J937" t="s">
        <v>68</v>
      </c>
      <c r="K937">
        <v>0</v>
      </c>
      <c r="L937">
        <v>13</v>
      </c>
      <c r="M937" t="s">
        <v>29</v>
      </c>
      <c r="N937" t="s">
        <v>48</v>
      </c>
    </row>
    <row r="938" spans="1:14" x14ac:dyDescent="0.3">
      <c r="A938">
        <v>27033994</v>
      </c>
      <c r="B938" t="s">
        <v>1006</v>
      </c>
      <c r="C938" t="s">
        <v>24</v>
      </c>
      <c r="D938" s="1">
        <v>45391</v>
      </c>
      <c r="E938">
        <v>20783</v>
      </c>
      <c r="F938" t="s">
        <v>16</v>
      </c>
      <c r="G938" t="s">
        <v>17</v>
      </c>
      <c r="H938" t="s">
        <v>103</v>
      </c>
      <c r="I938" t="s">
        <v>34</v>
      </c>
      <c r="J938" t="s">
        <v>28</v>
      </c>
      <c r="K938">
        <v>0</v>
      </c>
      <c r="L938">
        <v>20</v>
      </c>
      <c r="M938" t="s">
        <v>42</v>
      </c>
      <c r="N938" t="s">
        <v>48</v>
      </c>
    </row>
    <row r="939" spans="1:14" x14ac:dyDescent="0.3">
      <c r="A939">
        <v>52427008</v>
      </c>
      <c r="B939" t="s">
        <v>1007</v>
      </c>
      <c r="C939" t="s">
        <v>101</v>
      </c>
      <c r="D939" s="1">
        <v>45576</v>
      </c>
      <c r="E939">
        <v>14677</v>
      </c>
      <c r="F939" t="s">
        <v>39</v>
      </c>
      <c r="G939" t="s">
        <v>71</v>
      </c>
      <c r="H939" t="s">
        <v>81</v>
      </c>
      <c r="I939" t="s">
        <v>27</v>
      </c>
      <c r="J939" t="s">
        <v>35</v>
      </c>
      <c r="K939">
        <v>1</v>
      </c>
      <c r="L939">
        <v>68</v>
      </c>
      <c r="M939" t="s">
        <v>29</v>
      </c>
      <c r="N939" t="s">
        <v>73</v>
      </c>
    </row>
    <row r="940" spans="1:14" x14ac:dyDescent="0.3">
      <c r="A940">
        <v>39684259</v>
      </c>
      <c r="B940" t="s">
        <v>1008</v>
      </c>
      <c r="C940" t="s">
        <v>54</v>
      </c>
      <c r="D940" s="1">
        <v>45560</v>
      </c>
      <c r="E940">
        <v>19014</v>
      </c>
      <c r="F940" t="s">
        <v>39</v>
      </c>
      <c r="G940" t="s">
        <v>55</v>
      </c>
      <c r="H940" t="s">
        <v>40</v>
      </c>
      <c r="I940" t="s">
        <v>27</v>
      </c>
      <c r="J940" t="s">
        <v>68</v>
      </c>
      <c r="K940">
        <v>0</v>
      </c>
      <c r="L940">
        <v>68</v>
      </c>
      <c r="M940" t="s">
        <v>42</v>
      </c>
      <c r="N940" t="s">
        <v>46</v>
      </c>
    </row>
    <row r="941" spans="1:14" x14ac:dyDescent="0.3">
      <c r="A941">
        <v>43467568</v>
      </c>
      <c r="B941" t="s">
        <v>1009</v>
      </c>
      <c r="C941" t="s">
        <v>77</v>
      </c>
      <c r="D941" s="1">
        <v>45370</v>
      </c>
      <c r="E941">
        <v>1304</v>
      </c>
      <c r="F941" t="s">
        <v>39</v>
      </c>
      <c r="G941" t="s">
        <v>32</v>
      </c>
      <c r="H941" t="s">
        <v>56</v>
      </c>
      <c r="I941" t="s">
        <v>72</v>
      </c>
      <c r="J941" t="s">
        <v>41</v>
      </c>
      <c r="K941">
        <v>0</v>
      </c>
      <c r="L941">
        <v>72</v>
      </c>
      <c r="M941" t="s">
        <v>42</v>
      </c>
      <c r="N941" t="s">
        <v>48</v>
      </c>
    </row>
    <row r="942" spans="1:14" x14ac:dyDescent="0.3">
      <c r="A942">
        <v>52773264</v>
      </c>
      <c r="B942" t="s">
        <v>1010</v>
      </c>
      <c r="C942" t="s">
        <v>45</v>
      </c>
      <c r="D942" s="1">
        <v>45451</v>
      </c>
      <c r="E942">
        <v>5675</v>
      </c>
      <c r="F942" t="s">
        <v>16</v>
      </c>
      <c r="G942" t="s">
        <v>71</v>
      </c>
      <c r="H942" t="s">
        <v>103</v>
      </c>
      <c r="I942" t="s">
        <v>27</v>
      </c>
      <c r="J942" t="s">
        <v>28</v>
      </c>
      <c r="K942">
        <v>0</v>
      </c>
      <c r="L942">
        <v>29</v>
      </c>
      <c r="M942" t="s">
        <v>42</v>
      </c>
      <c r="N942" t="s">
        <v>89</v>
      </c>
    </row>
    <row r="943" spans="1:14" x14ac:dyDescent="0.3">
      <c r="A943">
        <v>54178667</v>
      </c>
      <c r="B943" t="s">
        <v>1011</v>
      </c>
      <c r="C943" t="s">
        <v>75</v>
      </c>
      <c r="D943" s="1">
        <v>45547</v>
      </c>
      <c r="E943">
        <v>1537</v>
      </c>
      <c r="F943" t="s">
        <v>50</v>
      </c>
      <c r="G943" t="s">
        <v>17</v>
      </c>
      <c r="H943" t="s">
        <v>18</v>
      </c>
      <c r="I943" t="s">
        <v>72</v>
      </c>
      <c r="J943" t="s">
        <v>68</v>
      </c>
      <c r="K943">
        <v>1</v>
      </c>
      <c r="L943">
        <v>73</v>
      </c>
      <c r="M943" t="s">
        <v>58</v>
      </c>
      <c r="N943" t="s">
        <v>63</v>
      </c>
    </row>
    <row r="944" spans="1:14" x14ac:dyDescent="0.3">
      <c r="A944">
        <v>23368263</v>
      </c>
      <c r="B944" t="s">
        <v>1012</v>
      </c>
      <c r="C944" t="s">
        <v>31</v>
      </c>
      <c r="D944" s="1">
        <v>45526</v>
      </c>
      <c r="E944">
        <v>17836</v>
      </c>
      <c r="F944" t="s">
        <v>39</v>
      </c>
      <c r="G944" t="s">
        <v>32</v>
      </c>
      <c r="H944" t="s">
        <v>26</v>
      </c>
      <c r="I944" t="s">
        <v>34</v>
      </c>
      <c r="J944" t="s">
        <v>85</v>
      </c>
      <c r="K944">
        <v>0</v>
      </c>
      <c r="L944">
        <v>44</v>
      </c>
      <c r="M944" t="s">
        <v>21</v>
      </c>
      <c r="N944" t="s">
        <v>22</v>
      </c>
    </row>
    <row r="945" spans="1:14" x14ac:dyDescent="0.3">
      <c r="A945">
        <v>47399949</v>
      </c>
      <c r="B945" t="s">
        <v>1013</v>
      </c>
      <c r="C945" t="s">
        <v>70</v>
      </c>
      <c r="D945" s="1">
        <v>45320</v>
      </c>
      <c r="E945">
        <v>19966</v>
      </c>
      <c r="F945" t="s">
        <v>61</v>
      </c>
      <c r="G945" t="s">
        <v>25</v>
      </c>
      <c r="H945" t="s">
        <v>51</v>
      </c>
      <c r="I945" t="s">
        <v>19</v>
      </c>
      <c r="J945" t="s">
        <v>57</v>
      </c>
      <c r="K945">
        <v>0</v>
      </c>
      <c r="L945">
        <v>28</v>
      </c>
      <c r="M945" t="s">
        <v>21</v>
      </c>
      <c r="N945" t="s">
        <v>22</v>
      </c>
    </row>
    <row r="946" spans="1:14" x14ac:dyDescent="0.3">
      <c r="A946">
        <v>47342812</v>
      </c>
      <c r="B946" t="s">
        <v>1014</v>
      </c>
      <c r="C946" t="s">
        <v>75</v>
      </c>
      <c r="D946" s="1">
        <v>45501</v>
      </c>
      <c r="E946">
        <v>2401</v>
      </c>
      <c r="F946" t="s">
        <v>16</v>
      </c>
      <c r="G946" t="s">
        <v>25</v>
      </c>
      <c r="H946" t="s">
        <v>103</v>
      </c>
      <c r="I946" t="s">
        <v>27</v>
      </c>
      <c r="J946" t="s">
        <v>68</v>
      </c>
      <c r="K946">
        <v>0</v>
      </c>
      <c r="L946">
        <v>45</v>
      </c>
      <c r="M946" t="s">
        <v>21</v>
      </c>
      <c r="N946" t="s">
        <v>59</v>
      </c>
    </row>
    <row r="947" spans="1:14" x14ac:dyDescent="0.3">
      <c r="A947">
        <v>17716187</v>
      </c>
      <c r="B947" t="s">
        <v>1015</v>
      </c>
      <c r="C947" t="s">
        <v>38</v>
      </c>
      <c r="D947" s="1">
        <v>45355</v>
      </c>
      <c r="E947">
        <v>3613</v>
      </c>
      <c r="F947" t="s">
        <v>61</v>
      </c>
      <c r="G947" t="s">
        <v>55</v>
      </c>
      <c r="H947" t="s">
        <v>26</v>
      </c>
      <c r="I947" t="s">
        <v>19</v>
      </c>
      <c r="J947" t="s">
        <v>57</v>
      </c>
      <c r="K947">
        <v>1</v>
      </c>
      <c r="L947">
        <v>94</v>
      </c>
      <c r="M947" t="s">
        <v>29</v>
      </c>
      <c r="N947" t="s">
        <v>59</v>
      </c>
    </row>
    <row r="948" spans="1:14" x14ac:dyDescent="0.3">
      <c r="A948">
        <v>40423183</v>
      </c>
      <c r="B948" t="s">
        <v>1016</v>
      </c>
      <c r="C948" t="s">
        <v>38</v>
      </c>
      <c r="D948" s="1">
        <v>45488</v>
      </c>
      <c r="E948">
        <v>19333</v>
      </c>
      <c r="F948" t="s">
        <v>61</v>
      </c>
      <c r="G948" t="s">
        <v>17</v>
      </c>
      <c r="H948" t="s">
        <v>51</v>
      </c>
      <c r="I948" t="s">
        <v>34</v>
      </c>
      <c r="J948" t="s">
        <v>35</v>
      </c>
      <c r="K948">
        <v>0</v>
      </c>
      <c r="L948">
        <v>41</v>
      </c>
      <c r="M948" t="s">
        <v>58</v>
      </c>
      <c r="N948" t="s">
        <v>43</v>
      </c>
    </row>
    <row r="949" spans="1:14" x14ac:dyDescent="0.3">
      <c r="A949">
        <v>63884097</v>
      </c>
      <c r="B949" t="s">
        <v>1017</v>
      </c>
      <c r="C949" t="s">
        <v>24</v>
      </c>
      <c r="D949" s="1">
        <v>45496</v>
      </c>
      <c r="E949">
        <v>12184</v>
      </c>
      <c r="F949" t="s">
        <v>39</v>
      </c>
      <c r="G949" t="s">
        <v>71</v>
      </c>
      <c r="H949" t="s">
        <v>46</v>
      </c>
      <c r="I949" t="s">
        <v>72</v>
      </c>
      <c r="J949" t="s">
        <v>79</v>
      </c>
      <c r="K949">
        <v>0</v>
      </c>
      <c r="L949">
        <v>14</v>
      </c>
      <c r="M949" t="s">
        <v>42</v>
      </c>
      <c r="N949" t="s">
        <v>22</v>
      </c>
    </row>
    <row r="950" spans="1:14" x14ac:dyDescent="0.3">
      <c r="A950">
        <v>53843916</v>
      </c>
      <c r="B950" t="s">
        <v>1018</v>
      </c>
      <c r="C950" t="s">
        <v>70</v>
      </c>
      <c r="D950" s="1">
        <v>45456</v>
      </c>
      <c r="E950">
        <v>19484</v>
      </c>
      <c r="F950" t="s">
        <v>39</v>
      </c>
      <c r="G950" t="s">
        <v>25</v>
      </c>
      <c r="H950" t="s">
        <v>56</v>
      </c>
      <c r="I950" t="s">
        <v>19</v>
      </c>
      <c r="J950" t="s">
        <v>57</v>
      </c>
      <c r="K950">
        <v>0</v>
      </c>
      <c r="L950">
        <v>50</v>
      </c>
      <c r="M950" t="s">
        <v>58</v>
      </c>
      <c r="N950" t="s">
        <v>48</v>
      </c>
    </row>
    <row r="951" spans="1:14" x14ac:dyDescent="0.3">
      <c r="A951">
        <v>52014511</v>
      </c>
      <c r="B951" t="s">
        <v>1019</v>
      </c>
      <c r="C951" t="s">
        <v>38</v>
      </c>
      <c r="D951" s="1">
        <v>45634</v>
      </c>
      <c r="E951">
        <v>12610</v>
      </c>
      <c r="F951" t="s">
        <v>16</v>
      </c>
      <c r="G951" t="s">
        <v>55</v>
      </c>
      <c r="H951" t="s">
        <v>46</v>
      </c>
      <c r="I951" t="s">
        <v>72</v>
      </c>
      <c r="J951" t="s">
        <v>68</v>
      </c>
      <c r="K951">
        <v>0</v>
      </c>
      <c r="L951">
        <v>20</v>
      </c>
      <c r="M951" t="s">
        <v>29</v>
      </c>
      <c r="N951" t="s">
        <v>43</v>
      </c>
    </row>
    <row r="952" spans="1:14" x14ac:dyDescent="0.3">
      <c r="A952">
        <v>59397171</v>
      </c>
      <c r="B952" t="s">
        <v>1020</v>
      </c>
      <c r="C952" t="s">
        <v>75</v>
      </c>
      <c r="D952" s="1">
        <v>45562</v>
      </c>
      <c r="E952">
        <v>4669</v>
      </c>
      <c r="F952" t="s">
        <v>50</v>
      </c>
      <c r="G952" t="s">
        <v>55</v>
      </c>
      <c r="H952" t="s">
        <v>62</v>
      </c>
      <c r="I952" t="s">
        <v>72</v>
      </c>
      <c r="J952" t="s">
        <v>35</v>
      </c>
      <c r="K952">
        <v>1</v>
      </c>
      <c r="L952">
        <v>67</v>
      </c>
      <c r="M952" t="s">
        <v>42</v>
      </c>
      <c r="N952" t="s">
        <v>36</v>
      </c>
    </row>
    <row r="953" spans="1:14" x14ac:dyDescent="0.3">
      <c r="A953">
        <v>66614536</v>
      </c>
      <c r="B953" t="s">
        <v>1021</v>
      </c>
      <c r="C953" t="s">
        <v>15</v>
      </c>
      <c r="D953" s="1">
        <v>45617</v>
      </c>
      <c r="E953">
        <v>8294</v>
      </c>
      <c r="F953" t="s">
        <v>61</v>
      </c>
      <c r="G953" t="s">
        <v>55</v>
      </c>
      <c r="H953" t="s">
        <v>46</v>
      </c>
      <c r="I953" t="s">
        <v>19</v>
      </c>
      <c r="J953" t="s">
        <v>68</v>
      </c>
      <c r="K953">
        <v>0</v>
      </c>
      <c r="L953">
        <v>83</v>
      </c>
      <c r="M953" t="s">
        <v>29</v>
      </c>
      <c r="N953" t="s">
        <v>63</v>
      </c>
    </row>
    <row r="954" spans="1:14" x14ac:dyDescent="0.3">
      <c r="A954">
        <v>93663014</v>
      </c>
      <c r="B954" t="s">
        <v>1022</v>
      </c>
      <c r="C954" t="s">
        <v>24</v>
      </c>
      <c r="D954" s="1">
        <v>45540</v>
      </c>
      <c r="E954">
        <v>21076</v>
      </c>
      <c r="F954" t="s">
        <v>16</v>
      </c>
      <c r="G954" t="s">
        <v>25</v>
      </c>
      <c r="H954" t="s">
        <v>40</v>
      </c>
      <c r="I954" t="s">
        <v>72</v>
      </c>
      <c r="J954" t="s">
        <v>57</v>
      </c>
      <c r="K954">
        <v>0</v>
      </c>
      <c r="L954">
        <v>77</v>
      </c>
      <c r="M954" t="s">
        <v>21</v>
      </c>
      <c r="N954" t="s">
        <v>73</v>
      </c>
    </row>
    <row r="955" spans="1:14" x14ac:dyDescent="0.3">
      <c r="A955">
        <v>94266555</v>
      </c>
      <c r="B955" t="s">
        <v>1023</v>
      </c>
      <c r="C955" t="s">
        <v>31</v>
      </c>
      <c r="D955" s="1">
        <v>45578</v>
      </c>
      <c r="E955">
        <v>14191</v>
      </c>
      <c r="F955" t="s">
        <v>16</v>
      </c>
      <c r="G955" t="s">
        <v>25</v>
      </c>
      <c r="H955" t="s">
        <v>18</v>
      </c>
      <c r="I955" t="s">
        <v>27</v>
      </c>
      <c r="J955" t="s">
        <v>20</v>
      </c>
      <c r="K955">
        <v>0</v>
      </c>
      <c r="L955">
        <v>87</v>
      </c>
      <c r="M955" t="s">
        <v>21</v>
      </c>
      <c r="N955" t="s">
        <v>87</v>
      </c>
    </row>
    <row r="956" spans="1:14" x14ac:dyDescent="0.3">
      <c r="A956">
        <v>92037561</v>
      </c>
      <c r="B956" t="s">
        <v>1024</v>
      </c>
      <c r="C956" t="s">
        <v>75</v>
      </c>
      <c r="D956" s="1">
        <v>45326</v>
      </c>
      <c r="E956">
        <v>935</v>
      </c>
      <c r="F956" t="s">
        <v>61</v>
      </c>
      <c r="G956" t="s">
        <v>32</v>
      </c>
      <c r="H956" t="s">
        <v>46</v>
      </c>
      <c r="I956" t="s">
        <v>34</v>
      </c>
      <c r="J956" t="s">
        <v>52</v>
      </c>
      <c r="K956">
        <v>0</v>
      </c>
      <c r="L956">
        <v>49</v>
      </c>
      <c r="M956" t="s">
        <v>47</v>
      </c>
      <c r="N956" t="s">
        <v>43</v>
      </c>
    </row>
    <row r="957" spans="1:14" x14ac:dyDescent="0.3">
      <c r="A957">
        <v>14827721</v>
      </c>
      <c r="B957" t="s">
        <v>1025</v>
      </c>
      <c r="C957" t="s">
        <v>24</v>
      </c>
      <c r="D957" s="1">
        <v>45298</v>
      </c>
      <c r="E957">
        <v>7726</v>
      </c>
      <c r="F957" t="s">
        <v>61</v>
      </c>
      <c r="G957" t="s">
        <v>25</v>
      </c>
      <c r="H957" t="s">
        <v>46</v>
      </c>
      <c r="I957" t="s">
        <v>34</v>
      </c>
      <c r="J957" t="s">
        <v>28</v>
      </c>
      <c r="K957">
        <v>1</v>
      </c>
      <c r="L957">
        <v>57</v>
      </c>
      <c r="M957" t="s">
        <v>29</v>
      </c>
      <c r="N957" t="s">
        <v>43</v>
      </c>
    </row>
    <row r="958" spans="1:14" x14ac:dyDescent="0.3">
      <c r="A958">
        <v>99203257</v>
      </c>
      <c r="B958" t="s">
        <v>1026</v>
      </c>
      <c r="C958" t="s">
        <v>15</v>
      </c>
      <c r="D958" s="1">
        <v>45310</v>
      </c>
      <c r="E958">
        <v>2298</v>
      </c>
      <c r="F958" t="s">
        <v>39</v>
      </c>
      <c r="G958" t="s">
        <v>71</v>
      </c>
      <c r="H958" t="s">
        <v>26</v>
      </c>
      <c r="I958" t="s">
        <v>34</v>
      </c>
      <c r="J958" t="s">
        <v>28</v>
      </c>
      <c r="K958">
        <v>1</v>
      </c>
      <c r="L958">
        <v>11</v>
      </c>
      <c r="M958" t="s">
        <v>58</v>
      </c>
      <c r="N958" t="s">
        <v>89</v>
      </c>
    </row>
    <row r="959" spans="1:14" x14ac:dyDescent="0.3">
      <c r="A959">
        <v>86500721</v>
      </c>
      <c r="B959" t="s">
        <v>1027</v>
      </c>
      <c r="C959" t="s">
        <v>38</v>
      </c>
      <c r="D959" s="1">
        <v>45523</v>
      </c>
      <c r="E959">
        <v>8824</v>
      </c>
      <c r="F959" t="s">
        <v>16</v>
      </c>
      <c r="G959" t="s">
        <v>32</v>
      </c>
      <c r="H959" t="s">
        <v>103</v>
      </c>
      <c r="I959" t="s">
        <v>27</v>
      </c>
      <c r="J959" t="s">
        <v>85</v>
      </c>
      <c r="K959">
        <v>0</v>
      </c>
      <c r="L959">
        <v>61</v>
      </c>
      <c r="M959" t="s">
        <v>21</v>
      </c>
      <c r="N959" t="s">
        <v>63</v>
      </c>
    </row>
    <row r="960" spans="1:14" x14ac:dyDescent="0.3">
      <c r="A960">
        <v>93978655</v>
      </c>
      <c r="B960" t="s">
        <v>1028</v>
      </c>
      <c r="C960" t="s">
        <v>15</v>
      </c>
      <c r="D960" s="1">
        <v>45608</v>
      </c>
      <c r="E960">
        <v>15027</v>
      </c>
      <c r="F960" t="s">
        <v>16</v>
      </c>
      <c r="G960" t="s">
        <v>17</v>
      </c>
      <c r="H960" t="s">
        <v>40</v>
      </c>
      <c r="I960" t="s">
        <v>34</v>
      </c>
      <c r="J960" t="s">
        <v>28</v>
      </c>
      <c r="K960">
        <v>1</v>
      </c>
      <c r="L960">
        <v>80</v>
      </c>
      <c r="M960" t="s">
        <v>58</v>
      </c>
      <c r="N960" t="s">
        <v>89</v>
      </c>
    </row>
    <row r="961" spans="1:14" x14ac:dyDescent="0.3">
      <c r="A961">
        <v>17763500</v>
      </c>
      <c r="B961" t="s">
        <v>1029</v>
      </c>
      <c r="C961" t="s">
        <v>101</v>
      </c>
      <c r="D961" s="1">
        <v>45330</v>
      </c>
      <c r="E961">
        <v>15858</v>
      </c>
      <c r="F961" t="s">
        <v>16</v>
      </c>
      <c r="G961" t="s">
        <v>32</v>
      </c>
      <c r="H961" t="s">
        <v>56</v>
      </c>
      <c r="I961" t="s">
        <v>19</v>
      </c>
      <c r="J961" t="s">
        <v>52</v>
      </c>
      <c r="K961">
        <v>0</v>
      </c>
      <c r="L961">
        <v>47</v>
      </c>
      <c r="M961" t="s">
        <v>21</v>
      </c>
      <c r="N961" t="s">
        <v>63</v>
      </c>
    </row>
    <row r="962" spans="1:14" x14ac:dyDescent="0.3">
      <c r="A962">
        <v>35808328</v>
      </c>
      <c r="B962" t="s">
        <v>1030</v>
      </c>
      <c r="C962" t="s">
        <v>77</v>
      </c>
      <c r="D962" s="1">
        <v>45401</v>
      </c>
      <c r="E962">
        <v>13385</v>
      </c>
      <c r="F962" t="s">
        <v>39</v>
      </c>
      <c r="G962" t="s">
        <v>17</v>
      </c>
      <c r="H962" t="s">
        <v>26</v>
      </c>
      <c r="I962" t="s">
        <v>34</v>
      </c>
      <c r="J962" t="s">
        <v>35</v>
      </c>
      <c r="K962">
        <v>0</v>
      </c>
      <c r="L962">
        <v>74</v>
      </c>
      <c r="M962" t="s">
        <v>47</v>
      </c>
      <c r="N962" t="s">
        <v>48</v>
      </c>
    </row>
    <row r="963" spans="1:14" x14ac:dyDescent="0.3">
      <c r="A963">
        <v>94561054</v>
      </c>
      <c r="B963" t="s">
        <v>1031</v>
      </c>
      <c r="C963" t="s">
        <v>77</v>
      </c>
      <c r="D963" s="1">
        <v>45447</v>
      </c>
      <c r="E963">
        <v>16090</v>
      </c>
      <c r="F963" t="s">
        <v>50</v>
      </c>
      <c r="G963" t="s">
        <v>32</v>
      </c>
      <c r="H963" t="s">
        <v>46</v>
      </c>
      <c r="I963" t="s">
        <v>72</v>
      </c>
      <c r="J963" t="s">
        <v>57</v>
      </c>
      <c r="K963">
        <v>1</v>
      </c>
      <c r="L963">
        <v>38</v>
      </c>
      <c r="M963" t="s">
        <v>65</v>
      </c>
      <c r="N963" t="s">
        <v>59</v>
      </c>
    </row>
    <row r="964" spans="1:14" x14ac:dyDescent="0.3">
      <c r="A964">
        <v>80772767</v>
      </c>
      <c r="B964" t="s">
        <v>1032</v>
      </c>
      <c r="C964" t="s">
        <v>54</v>
      </c>
      <c r="D964" s="1">
        <v>45285</v>
      </c>
      <c r="E964">
        <v>1536</v>
      </c>
      <c r="F964" t="s">
        <v>39</v>
      </c>
      <c r="G964" t="s">
        <v>17</v>
      </c>
      <c r="H964" t="s">
        <v>51</v>
      </c>
      <c r="I964" t="s">
        <v>34</v>
      </c>
      <c r="J964" t="s">
        <v>79</v>
      </c>
      <c r="K964">
        <v>1</v>
      </c>
      <c r="L964">
        <v>90</v>
      </c>
      <c r="M964" t="s">
        <v>47</v>
      </c>
      <c r="N964" t="s">
        <v>87</v>
      </c>
    </row>
    <row r="965" spans="1:14" x14ac:dyDescent="0.3">
      <c r="A965">
        <v>83235352</v>
      </c>
      <c r="B965" t="s">
        <v>1033</v>
      </c>
      <c r="C965" t="s">
        <v>70</v>
      </c>
      <c r="D965" s="1">
        <v>45410</v>
      </c>
      <c r="E965">
        <v>19733</v>
      </c>
      <c r="F965" t="s">
        <v>61</v>
      </c>
      <c r="G965" t="s">
        <v>32</v>
      </c>
      <c r="H965" t="s">
        <v>26</v>
      </c>
      <c r="I965" t="s">
        <v>72</v>
      </c>
      <c r="J965" t="s">
        <v>85</v>
      </c>
      <c r="K965">
        <v>0</v>
      </c>
      <c r="L965">
        <v>84</v>
      </c>
      <c r="M965" t="s">
        <v>42</v>
      </c>
      <c r="N965" t="s">
        <v>59</v>
      </c>
    </row>
    <row r="966" spans="1:14" x14ac:dyDescent="0.3">
      <c r="A966">
        <v>38463078</v>
      </c>
      <c r="B966" t="s">
        <v>1034</v>
      </c>
      <c r="C966" t="s">
        <v>31</v>
      </c>
      <c r="D966" s="1">
        <v>45504</v>
      </c>
      <c r="E966">
        <v>4182</v>
      </c>
      <c r="F966" t="s">
        <v>39</v>
      </c>
      <c r="G966" t="s">
        <v>17</v>
      </c>
      <c r="H966" t="s">
        <v>56</v>
      </c>
      <c r="I966" t="s">
        <v>34</v>
      </c>
      <c r="J966" t="s">
        <v>20</v>
      </c>
      <c r="K966">
        <v>0</v>
      </c>
      <c r="L966">
        <v>43</v>
      </c>
      <c r="M966" t="s">
        <v>47</v>
      </c>
      <c r="N966" t="s">
        <v>89</v>
      </c>
    </row>
    <row r="967" spans="1:14" x14ac:dyDescent="0.3">
      <c r="A967">
        <v>94608908</v>
      </c>
      <c r="B967" t="s">
        <v>1035</v>
      </c>
      <c r="C967" t="s">
        <v>75</v>
      </c>
      <c r="D967" s="1">
        <v>45392</v>
      </c>
      <c r="E967">
        <v>9825</v>
      </c>
      <c r="F967" t="s">
        <v>39</v>
      </c>
      <c r="G967" t="s">
        <v>71</v>
      </c>
      <c r="H967" t="s">
        <v>51</v>
      </c>
      <c r="I967" t="s">
        <v>34</v>
      </c>
      <c r="J967" t="s">
        <v>68</v>
      </c>
      <c r="K967">
        <v>0</v>
      </c>
      <c r="L967">
        <v>17</v>
      </c>
      <c r="M967" t="s">
        <v>58</v>
      </c>
      <c r="N967" t="s">
        <v>22</v>
      </c>
    </row>
    <row r="968" spans="1:14" x14ac:dyDescent="0.3">
      <c r="A968">
        <v>44584698</v>
      </c>
      <c r="B968" t="s">
        <v>1036</v>
      </c>
      <c r="C968" t="s">
        <v>15</v>
      </c>
      <c r="D968" s="1">
        <v>45309</v>
      </c>
      <c r="E968">
        <v>4379</v>
      </c>
      <c r="F968" t="s">
        <v>39</v>
      </c>
      <c r="G968" t="s">
        <v>71</v>
      </c>
      <c r="H968" t="s">
        <v>51</v>
      </c>
      <c r="I968" t="s">
        <v>72</v>
      </c>
      <c r="J968" t="s">
        <v>52</v>
      </c>
      <c r="K968">
        <v>0</v>
      </c>
      <c r="L968">
        <v>59</v>
      </c>
      <c r="M968" t="s">
        <v>65</v>
      </c>
      <c r="N968" t="s">
        <v>43</v>
      </c>
    </row>
    <row r="969" spans="1:14" x14ac:dyDescent="0.3">
      <c r="A969">
        <v>46881959</v>
      </c>
      <c r="B969" t="s">
        <v>1037</v>
      </c>
      <c r="C969" t="s">
        <v>24</v>
      </c>
      <c r="D969" s="1">
        <v>45281</v>
      </c>
      <c r="E969">
        <v>7015</v>
      </c>
      <c r="F969" t="s">
        <v>39</v>
      </c>
      <c r="G969" t="s">
        <v>55</v>
      </c>
      <c r="H969" t="s">
        <v>51</v>
      </c>
      <c r="I969" t="s">
        <v>34</v>
      </c>
      <c r="J969" t="s">
        <v>79</v>
      </c>
      <c r="K969">
        <v>1</v>
      </c>
      <c r="L969">
        <v>46</v>
      </c>
      <c r="M969" t="s">
        <v>65</v>
      </c>
      <c r="N969" t="s">
        <v>87</v>
      </c>
    </row>
    <row r="970" spans="1:14" x14ac:dyDescent="0.3">
      <c r="A970">
        <v>78459150</v>
      </c>
      <c r="B970" t="s">
        <v>1038</v>
      </c>
      <c r="C970" t="s">
        <v>54</v>
      </c>
      <c r="D970" s="1">
        <v>45426</v>
      </c>
      <c r="E970">
        <v>22216</v>
      </c>
      <c r="F970" t="s">
        <v>61</v>
      </c>
      <c r="G970" t="s">
        <v>55</v>
      </c>
      <c r="H970" t="s">
        <v>51</v>
      </c>
      <c r="I970" t="s">
        <v>34</v>
      </c>
      <c r="J970" t="s">
        <v>79</v>
      </c>
      <c r="K970">
        <v>0</v>
      </c>
      <c r="L970">
        <v>22</v>
      </c>
      <c r="M970" t="s">
        <v>58</v>
      </c>
      <c r="N970" t="s">
        <v>59</v>
      </c>
    </row>
    <row r="971" spans="1:14" x14ac:dyDescent="0.3">
      <c r="A971">
        <v>50439285</v>
      </c>
      <c r="B971" t="s">
        <v>1039</v>
      </c>
      <c r="C971" t="s">
        <v>45</v>
      </c>
      <c r="D971" s="1">
        <v>45632</v>
      </c>
      <c r="E971">
        <v>12730</v>
      </c>
      <c r="F971" t="s">
        <v>61</v>
      </c>
      <c r="G971" t="s">
        <v>55</v>
      </c>
      <c r="H971" t="s">
        <v>33</v>
      </c>
      <c r="I971" t="s">
        <v>34</v>
      </c>
      <c r="J971" t="s">
        <v>79</v>
      </c>
      <c r="K971">
        <v>1</v>
      </c>
      <c r="L971">
        <v>85</v>
      </c>
      <c r="M971" t="s">
        <v>29</v>
      </c>
      <c r="N971" t="s">
        <v>36</v>
      </c>
    </row>
    <row r="972" spans="1:14" x14ac:dyDescent="0.3">
      <c r="A972">
        <v>26655879</v>
      </c>
      <c r="B972" t="s">
        <v>1040</v>
      </c>
      <c r="C972" t="s">
        <v>45</v>
      </c>
      <c r="D972" s="1">
        <v>45555</v>
      </c>
      <c r="E972">
        <v>1496</v>
      </c>
      <c r="F972" t="s">
        <v>39</v>
      </c>
      <c r="G972" t="s">
        <v>55</v>
      </c>
      <c r="H972" t="s">
        <v>103</v>
      </c>
      <c r="I972" t="s">
        <v>34</v>
      </c>
      <c r="J972" t="s">
        <v>57</v>
      </c>
      <c r="K972">
        <v>0</v>
      </c>
      <c r="L972">
        <v>27</v>
      </c>
      <c r="M972" t="s">
        <v>65</v>
      </c>
      <c r="N972" t="s">
        <v>43</v>
      </c>
    </row>
    <row r="973" spans="1:14" x14ac:dyDescent="0.3">
      <c r="A973">
        <v>38296444</v>
      </c>
      <c r="B973" t="s">
        <v>1041</v>
      </c>
      <c r="C973" t="s">
        <v>101</v>
      </c>
      <c r="D973" s="1">
        <v>45495</v>
      </c>
      <c r="E973">
        <v>13094</v>
      </c>
      <c r="F973" t="s">
        <v>16</v>
      </c>
      <c r="G973" t="s">
        <v>55</v>
      </c>
      <c r="H973" t="s">
        <v>56</v>
      </c>
      <c r="I973" t="s">
        <v>72</v>
      </c>
      <c r="J973" t="s">
        <v>28</v>
      </c>
      <c r="K973">
        <v>0</v>
      </c>
      <c r="L973">
        <v>60</v>
      </c>
      <c r="M973" t="s">
        <v>58</v>
      </c>
      <c r="N973" t="s">
        <v>36</v>
      </c>
    </row>
    <row r="974" spans="1:14" x14ac:dyDescent="0.3">
      <c r="A974">
        <v>60568729</v>
      </c>
      <c r="B974" t="s">
        <v>1020</v>
      </c>
      <c r="C974" t="s">
        <v>45</v>
      </c>
      <c r="D974" s="1">
        <v>45406</v>
      </c>
      <c r="E974">
        <v>20781</v>
      </c>
      <c r="F974" t="s">
        <v>61</v>
      </c>
      <c r="G974" t="s">
        <v>17</v>
      </c>
      <c r="H974" t="s">
        <v>46</v>
      </c>
      <c r="I974" t="s">
        <v>34</v>
      </c>
      <c r="J974" t="s">
        <v>35</v>
      </c>
      <c r="K974">
        <v>1</v>
      </c>
      <c r="L974">
        <v>90</v>
      </c>
      <c r="M974" t="s">
        <v>21</v>
      </c>
      <c r="N974" t="s">
        <v>87</v>
      </c>
    </row>
    <row r="975" spans="1:14" x14ac:dyDescent="0.3">
      <c r="A975">
        <v>79704405</v>
      </c>
      <c r="B975" t="s">
        <v>1042</v>
      </c>
      <c r="C975" t="s">
        <v>38</v>
      </c>
      <c r="D975" s="1">
        <v>45344</v>
      </c>
      <c r="E975">
        <v>8083</v>
      </c>
      <c r="F975" t="s">
        <v>39</v>
      </c>
      <c r="G975" t="s">
        <v>55</v>
      </c>
      <c r="H975" t="s">
        <v>51</v>
      </c>
      <c r="I975" t="s">
        <v>72</v>
      </c>
      <c r="J975" t="s">
        <v>35</v>
      </c>
      <c r="K975">
        <v>0</v>
      </c>
      <c r="L975">
        <v>42</v>
      </c>
      <c r="M975" t="s">
        <v>42</v>
      </c>
      <c r="N975" t="s">
        <v>46</v>
      </c>
    </row>
    <row r="976" spans="1:14" x14ac:dyDescent="0.3">
      <c r="A976">
        <v>76369314</v>
      </c>
      <c r="B976" t="s">
        <v>1043</v>
      </c>
      <c r="C976" t="s">
        <v>15</v>
      </c>
      <c r="D976" s="1">
        <v>45286</v>
      </c>
      <c r="E976">
        <v>21809</v>
      </c>
      <c r="F976" t="s">
        <v>39</v>
      </c>
      <c r="G976" t="s">
        <v>25</v>
      </c>
      <c r="H976" t="s">
        <v>56</v>
      </c>
      <c r="I976" t="s">
        <v>19</v>
      </c>
      <c r="J976" t="s">
        <v>20</v>
      </c>
      <c r="K976">
        <v>0</v>
      </c>
      <c r="L976">
        <v>25</v>
      </c>
      <c r="M976" t="s">
        <v>29</v>
      </c>
      <c r="N976" t="s">
        <v>89</v>
      </c>
    </row>
    <row r="977" spans="1:14" x14ac:dyDescent="0.3">
      <c r="A977">
        <v>39845026</v>
      </c>
      <c r="B977" t="s">
        <v>1044</v>
      </c>
      <c r="C977" t="s">
        <v>38</v>
      </c>
      <c r="D977" s="1">
        <v>45483</v>
      </c>
      <c r="E977">
        <v>16883</v>
      </c>
      <c r="F977" t="s">
        <v>61</v>
      </c>
      <c r="G977" t="s">
        <v>32</v>
      </c>
      <c r="H977" t="s">
        <v>62</v>
      </c>
      <c r="I977" t="s">
        <v>34</v>
      </c>
      <c r="J977" t="s">
        <v>68</v>
      </c>
      <c r="K977">
        <v>0</v>
      </c>
      <c r="L977">
        <v>26</v>
      </c>
      <c r="M977" t="s">
        <v>47</v>
      </c>
      <c r="N977" t="s">
        <v>89</v>
      </c>
    </row>
    <row r="978" spans="1:14" x14ac:dyDescent="0.3">
      <c r="A978">
        <v>90309492</v>
      </c>
      <c r="B978" t="s">
        <v>1045</v>
      </c>
      <c r="C978" t="s">
        <v>31</v>
      </c>
      <c r="D978" s="1">
        <v>45586</v>
      </c>
      <c r="E978">
        <v>3780</v>
      </c>
      <c r="F978" t="s">
        <v>39</v>
      </c>
      <c r="G978" t="s">
        <v>32</v>
      </c>
      <c r="H978" t="s">
        <v>46</v>
      </c>
      <c r="I978" t="s">
        <v>19</v>
      </c>
      <c r="J978" t="s">
        <v>57</v>
      </c>
      <c r="K978">
        <v>0</v>
      </c>
      <c r="L978">
        <v>92</v>
      </c>
      <c r="M978" t="s">
        <v>47</v>
      </c>
      <c r="N978" t="s">
        <v>63</v>
      </c>
    </row>
    <row r="979" spans="1:14" x14ac:dyDescent="0.3">
      <c r="A979">
        <v>32933549</v>
      </c>
      <c r="B979" t="s">
        <v>1046</v>
      </c>
      <c r="C979" t="s">
        <v>75</v>
      </c>
      <c r="D979" s="1">
        <v>45428</v>
      </c>
      <c r="E979">
        <v>14172</v>
      </c>
      <c r="F979" t="s">
        <v>39</v>
      </c>
      <c r="G979" t="s">
        <v>17</v>
      </c>
      <c r="H979" t="s">
        <v>51</v>
      </c>
      <c r="I979" t="s">
        <v>34</v>
      </c>
      <c r="J979" t="s">
        <v>79</v>
      </c>
      <c r="K979">
        <v>0</v>
      </c>
      <c r="L979">
        <v>58</v>
      </c>
      <c r="M979" t="s">
        <v>21</v>
      </c>
      <c r="N979" t="s">
        <v>46</v>
      </c>
    </row>
    <row r="980" spans="1:14" x14ac:dyDescent="0.3">
      <c r="A980">
        <v>94935715</v>
      </c>
      <c r="B980" t="s">
        <v>1047</v>
      </c>
      <c r="C980" t="s">
        <v>54</v>
      </c>
      <c r="D980" s="1">
        <v>45508</v>
      </c>
      <c r="E980">
        <v>16338</v>
      </c>
      <c r="F980" t="s">
        <v>16</v>
      </c>
      <c r="G980" t="s">
        <v>17</v>
      </c>
      <c r="H980" t="s">
        <v>46</v>
      </c>
      <c r="I980" t="s">
        <v>72</v>
      </c>
      <c r="J980" t="s">
        <v>52</v>
      </c>
      <c r="K980">
        <v>1</v>
      </c>
      <c r="L980">
        <v>11</v>
      </c>
      <c r="M980" t="s">
        <v>58</v>
      </c>
      <c r="N980" t="s">
        <v>73</v>
      </c>
    </row>
    <row r="981" spans="1:14" x14ac:dyDescent="0.3">
      <c r="A981">
        <v>16280115</v>
      </c>
      <c r="B981" t="s">
        <v>1048</v>
      </c>
      <c r="C981" t="s">
        <v>77</v>
      </c>
      <c r="D981" s="1">
        <v>45354</v>
      </c>
      <c r="E981">
        <v>210</v>
      </c>
      <c r="F981" t="s">
        <v>39</v>
      </c>
      <c r="G981" t="s">
        <v>55</v>
      </c>
      <c r="H981" t="s">
        <v>26</v>
      </c>
      <c r="I981" t="s">
        <v>34</v>
      </c>
      <c r="J981" t="s">
        <v>35</v>
      </c>
      <c r="K981">
        <v>1</v>
      </c>
      <c r="L981">
        <v>35</v>
      </c>
      <c r="M981" t="s">
        <v>47</v>
      </c>
      <c r="N981" t="s">
        <v>89</v>
      </c>
    </row>
    <row r="982" spans="1:14" x14ac:dyDescent="0.3">
      <c r="A982">
        <v>25733018</v>
      </c>
      <c r="B982" t="s">
        <v>1049</v>
      </c>
      <c r="C982" t="s">
        <v>45</v>
      </c>
      <c r="D982" s="1">
        <v>45506</v>
      </c>
      <c r="E982">
        <v>18031</v>
      </c>
      <c r="F982" t="s">
        <v>61</v>
      </c>
      <c r="G982" t="s">
        <v>17</v>
      </c>
      <c r="H982" t="s">
        <v>26</v>
      </c>
      <c r="I982" t="s">
        <v>19</v>
      </c>
      <c r="J982" t="s">
        <v>20</v>
      </c>
      <c r="K982">
        <v>1</v>
      </c>
      <c r="L982">
        <v>92</v>
      </c>
      <c r="M982" t="s">
        <v>42</v>
      </c>
      <c r="N982" t="s">
        <v>48</v>
      </c>
    </row>
    <row r="983" spans="1:14" x14ac:dyDescent="0.3">
      <c r="A983">
        <v>92694849</v>
      </c>
      <c r="B983" t="s">
        <v>1050</v>
      </c>
      <c r="C983" t="s">
        <v>24</v>
      </c>
      <c r="D983" s="1">
        <v>45355</v>
      </c>
      <c r="E983">
        <v>4621</v>
      </c>
      <c r="F983" t="s">
        <v>16</v>
      </c>
      <c r="G983" t="s">
        <v>25</v>
      </c>
      <c r="H983" t="s">
        <v>26</v>
      </c>
      <c r="I983" t="s">
        <v>34</v>
      </c>
      <c r="J983" t="s">
        <v>79</v>
      </c>
      <c r="K983">
        <v>1</v>
      </c>
      <c r="L983">
        <v>91</v>
      </c>
      <c r="M983" t="s">
        <v>42</v>
      </c>
      <c r="N983" t="s">
        <v>87</v>
      </c>
    </row>
    <row r="984" spans="1:14" x14ac:dyDescent="0.3">
      <c r="A984">
        <v>72460926</v>
      </c>
      <c r="B984" t="s">
        <v>1051</v>
      </c>
      <c r="C984" t="s">
        <v>101</v>
      </c>
      <c r="D984" s="1">
        <v>45419</v>
      </c>
      <c r="E984">
        <v>7013</v>
      </c>
      <c r="F984" t="s">
        <v>39</v>
      </c>
      <c r="G984" t="s">
        <v>17</v>
      </c>
      <c r="H984" t="s">
        <v>81</v>
      </c>
      <c r="I984" t="s">
        <v>19</v>
      </c>
      <c r="J984" t="s">
        <v>52</v>
      </c>
      <c r="K984">
        <v>0</v>
      </c>
      <c r="L984">
        <v>78</v>
      </c>
      <c r="M984" t="s">
        <v>21</v>
      </c>
      <c r="N984" t="s">
        <v>89</v>
      </c>
    </row>
    <row r="985" spans="1:14" x14ac:dyDescent="0.3">
      <c r="A985">
        <v>37850779</v>
      </c>
      <c r="B985" t="s">
        <v>1052</v>
      </c>
      <c r="C985" t="s">
        <v>38</v>
      </c>
      <c r="D985" s="1">
        <v>45290</v>
      </c>
      <c r="E985">
        <v>13582</v>
      </c>
      <c r="F985" t="s">
        <v>16</v>
      </c>
      <c r="G985" t="s">
        <v>17</v>
      </c>
      <c r="H985" t="s">
        <v>33</v>
      </c>
      <c r="I985" t="s">
        <v>34</v>
      </c>
      <c r="J985" t="s">
        <v>20</v>
      </c>
      <c r="K985">
        <v>0</v>
      </c>
      <c r="L985">
        <v>11</v>
      </c>
      <c r="M985" t="s">
        <v>29</v>
      </c>
      <c r="N985" t="s">
        <v>22</v>
      </c>
    </row>
    <row r="986" spans="1:14" x14ac:dyDescent="0.3">
      <c r="A986">
        <v>71327616</v>
      </c>
      <c r="B986" t="s">
        <v>1053</v>
      </c>
      <c r="C986" t="s">
        <v>24</v>
      </c>
      <c r="D986" s="1">
        <v>45358</v>
      </c>
      <c r="E986">
        <v>23861</v>
      </c>
      <c r="F986" t="s">
        <v>39</v>
      </c>
      <c r="G986" t="s">
        <v>55</v>
      </c>
      <c r="H986" t="s">
        <v>56</v>
      </c>
      <c r="I986" t="s">
        <v>34</v>
      </c>
      <c r="J986" t="s">
        <v>57</v>
      </c>
      <c r="K986">
        <v>0</v>
      </c>
      <c r="L986">
        <v>95</v>
      </c>
      <c r="M986" t="s">
        <v>58</v>
      </c>
      <c r="N986" t="s">
        <v>48</v>
      </c>
    </row>
    <row r="987" spans="1:14" x14ac:dyDescent="0.3">
      <c r="A987">
        <v>35704861</v>
      </c>
      <c r="B987" t="s">
        <v>1054</v>
      </c>
      <c r="C987" t="s">
        <v>15</v>
      </c>
      <c r="D987" s="1">
        <v>45339</v>
      </c>
      <c r="E987">
        <v>17243</v>
      </c>
      <c r="F987" t="s">
        <v>61</v>
      </c>
      <c r="G987" t="s">
        <v>71</v>
      </c>
      <c r="H987" t="s">
        <v>33</v>
      </c>
      <c r="I987" t="s">
        <v>72</v>
      </c>
      <c r="J987" t="s">
        <v>57</v>
      </c>
      <c r="K987">
        <v>0</v>
      </c>
      <c r="L987">
        <v>80</v>
      </c>
      <c r="M987" t="s">
        <v>47</v>
      </c>
      <c r="N987" t="s">
        <v>63</v>
      </c>
    </row>
    <row r="988" spans="1:14" x14ac:dyDescent="0.3">
      <c r="A988">
        <v>39136871</v>
      </c>
      <c r="B988" t="s">
        <v>1055</v>
      </c>
      <c r="C988" t="s">
        <v>24</v>
      </c>
      <c r="D988" s="1">
        <v>45474</v>
      </c>
      <c r="E988">
        <v>17618</v>
      </c>
      <c r="F988" t="s">
        <v>16</v>
      </c>
      <c r="G988" t="s">
        <v>55</v>
      </c>
      <c r="H988" t="s">
        <v>33</v>
      </c>
      <c r="I988" t="s">
        <v>19</v>
      </c>
      <c r="J988" t="s">
        <v>79</v>
      </c>
      <c r="K988">
        <v>0</v>
      </c>
      <c r="L988">
        <v>84</v>
      </c>
      <c r="M988" t="s">
        <v>21</v>
      </c>
      <c r="N988" t="s">
        <v>43</v>
      </c>
    </row>
    <row r="989" spans="1:14" x14ac:dyDescent="0.3">
      <c r="A989">
        <v>32291394</v>
      </c>
      <c r="B989" t="s">
        <v>1056</v>
      </c>
      <c r="C989" t="s">
        <v>24</v>
      </c>
      <c r="D989" s="1">
        <v>45634</v>
      </c>
      <c r="E989">
        <v>3223</v>
      </c>
      <c r="F989" t="s">
        <v>16</v>
      </c>
      <c r="G989" t="s">
        <v>55</v>
      </c>
      <c r="H989" t="s">
        <v>62</v>
      </c>
      <c r="I989" t="s">
        <v>19</v>
      </c>
      <c r="J989" t="s">
        <v>52</v>
      </c>
      <c r="K989">
        <v>0</v>
      </c>
      <c r="L989">
        <v>12</v>
      </c>
      <c r="M989" t="s">
        <v>29</v>
      </c>
      <c r="N989" t="s">
        <v>73</v>
      </c>
    </row>
    <row r="990" spans="1:14" x14ac:dyDescent="0.3">
      <c r="A990">
        <v>11143488</v>
      </c>
      <c r="B990" t="s">
        <v>1057</v>
      </c>
      <c r="C990" t="s">
        <v>77</v>
      </c>
      <c r="D990" s="1">
        <v>45546</v>
      </c>
      <c r="E990">
        <v>295</v>
      </c>
      <c r="F990" t="s">
        <v>16</v>
      </c>
      <c r="G990" t="s">
        <v>32</v>
      </c>
      <c r="H990" t="s">
        <v>18</v>
      </c>
      <c r="I990" t="s">
        <v>19</v>
      </c>
      <c r="J990" t="s">
        <v>85</v>
      </c>
      <c r="K990">
        <v>1</v>
      </c>
      <c r="L990">
        <v>35</v>
      </c>
      <c r="M990" t="s">
        <v>47</v>
      </c>
      <c r="N990" t="s">
        <v>36</v>
      </c>
    </row>
    <row r="991" spans="1:14" x14ac:dyDescent="0.3">
      <c r="A991">
        <v>64330946</v>
      </c>
      <c r="B991" t="s">
        <v>1058</v>
      </c>
      <c r="C991" t="s">
        <v>38</v>
      </c>
      <c r="D991" s="1">
        <v>45367</v>
      </c>
      <c r="E991">
        <v>23311</v>
      </c>
      <c r="F991" t="s">
        <v>16</v>
      </c>
      <c r="G991" t="s">
        <v>17</v>
      </c>
      <c r="H991" t="s">
        <v>81</v>
      </c>
      <c r="I991" t="s">
        <v>19</v>
      </c>
      <c r="J991" t="s">
        <v>52</v>
      </c>
      <c r="K991">
        <v>0</v>
      </c>
      <c r="L991">
        <v>57</v>
      </c>
      <c r="M991" t="s">
        <v>47</v>
      </c>
      <c r="N991" t="s">
        <v>48</v>
      </c>
    </row>
    <row r="992" spans="1:14" x14ac:dyDescent="0.3">
      <c r="A992">
        <v>73362222</v>
      </c>
      <c r="B992" t="s">
        <v>1059</v>
      </c>
      <c r="C992" t="s">
        <v>70</v>
      </c>
      <c r="D992" s="1">
        <v>45582</v>
      </c>
      <c r="E992">
        <v>21779</v>
      </c>
      <c r="F992" t="s">
        <v>39</v>
      </c>
      <c r="G992" t="s">
        <v>17</v>
      </c>
      <c r="H992" t="s">
        <v>33</v>
      </c>
      <c r="I992" t="s">
        <v>34</v>
      </c>
      <c r="J992" t="s">
        <v>85</v>
      </c>
      <c r="K992">
        <v>0</v>
      </c>
      <c r="L992">
        <v>57</v>
      </c>
      <c r="M992" t="s">
        <v>65</v>
      </c>
      <c r="N992" t="s">
        <v>36</v>
      </c>
    </row>
    <row r="993" spans="1:14" x14ac:dyDescent="0.3">
      <c r="A993">
        <v>19694755</v>
      </c>
      <c r="B993" t="s">
        <v>1060</v>
      </c>
      <c r="C993" t="s">
        <v>31</v>
      </c>
      <c r="D993" s="1">
        <v>45579</v>
      </c>
      <c r="E993">
        <v>20721</v>
      </c>
      <c r="F993" t="s">
        <v>50</v>
      </c>
      <c r="G993" t="s">
        <v>71</v>
      </c>
      <c r="H993" t="s">
        <v>56</v>
      </c>
      <c r="I993" t="s">
        <v>72</v>
      </c>
      <c r="J993" t="s">
        <v>28</v>
      </c>
      <c r="K993">
        <v>0</v>
      </c>
      <c r="L993">
        <v>20</v>
      </c>
      <c r="M993" t="s">
        <v>21</v>
      </c>
      <c r="N993" t="s">
        <v>87</v>
      </c>
    </row>
    <row r="994" spans="1:14" x14ac:dyDescent="0.3">
      <c r="A994">
        <v>52490430</v>
      </c>
      <c r="B994" t="s">
        <v>1061</v>
      </c>
      <c r="C994" t="s">
        <v>101</v>
      </c>
      <c r="D994" s="1">
        <v>45499</v>
      </c>
      <c r="E994">
        <v>17825</v>
      </c>
      <c r="F994" t="s">
        <v>39</v>
      </c>
      <c r="G994" t="s">
        <v>55</v>
      </c>
      <c r="H994" t="s">
        <v>46</v>
      </c>
      <c r="I994" t="s">
        <v>19</v>
      </c>
      <c r="J994" t="s">
        <v>20</v>
      </c>
      <c r="K994">
        <v>0</v>
      </c>
      <c r="L994">
        <v>14</v>
      </c>
      <c r="M994" t="s">
        <v>29</v>
      </c>
      <c r="N994" t="s">
        <v>73</v>
      </c>
    </row>
    <row r="995" spans="1:14" x14ac:dyDescent="0.3">
      <c r="A995">
        <v>75587242</v>
      </c>
      <c r="B995" t="s">
        <v>1062</v>
      </c>
      <c r="C995" t="s">
        <v>24</v>
      </c>
      <c r="D995" s="1">
        <v>45325</v>
      </c>
      <c r="E995">
        <v>6985</v>
      </c>
      <c r="F995" t="s">
        <v>50</v>
      </c>
      <c r="G995" t="s">
        <v>32</v>
      </c>
      <c r="H995" t="s">
        <v>18</v>
      </c>
      <c r="I995" t="s">
        <v>27</v>
      </c>
      <c r="J995" t="s">
        <v>85</v>
      </c>
      <c r="K995">
        <v>0</v>
      </c>
      <c r="L995">
        <v>50</v>
      </c>
      <c r="M995" t="s">
        <v>29</v>
      </c>
      <c r="N995" t="s">
        <v>59</v>
      </c>
    </row>
    <row r="996" spans="1:14" x14ac:dyDescent="0.3">
      <c r="A996">
        <v>18806538</v>
      </c>
      <c r="B996" t="s">
        <v>1063</v>
      </c>
      <c r="C996" t="s">
        <v>15</v>
      </c>
      <c r="D996" s="1">
        <v>45375</v>
      </c>
      <c r="E996">
        <v>9203</v>
      </c>
      <c r="F996" t="s">
        <v>50</v>
      </c>
      <c r="G996" t="s">
        <v>71</v>
      </c>
      <c r="H996" t="s">
        <v>62</v>
      </c>
      <c r="I996" t="s">
        <v>34</v>
      </c>
      <c r="J996" t="s">
        <v>35</v>
      </c>
      <c r="K996">
        <v>0</v>
      </c>
      <c r="L996">
        <v>14</v>
      </c>
      <c r="M996" t="s">
        <v>21</v>
      </c>
      <c r="N996" t="s">
        <v>36</v>
      </c>
    </row>
    <row r="997" spans="1:14" x14ac:dyDescent="0.3">
      <c r="A997">
        <v>97151229</v>
      </c>
      <c r="B997" t="s">
        <v>1064</v>
      </c>
      <c r="C997" t="s">
        <v>54</v>
      </c>
      <c r="D997" s="1">
        <v>45421</v>
      </c>
      <c r="E997">
        <v>2834</v>
      </c>
      <c r="F997" t="s">
        <v>16</v>
      </c>
      <c r="G997" t="s">
        <v>55</v>
      </c>
      <c r="H997" t="s">
        <v>103</v>
      </c>
      <c r="I997" t="s">
        <v>34</v>
      </c>
      <c r="J997" t="s">
        <v>28</v>
      </c>
      <c r="K997">
        <v>0</v>
      </c>
      <c r="L997">
        <v>14</v>
      </c>
      <c r="M997" t="s">
        <v>58</v>
      </c>
      <c r="N997" t="s">
        <v>43</v>
      </c>
    </row>
    <row r="998" spans="1:14" x14ac:dyDescent="0.3">
      <c r="A998">
        <v>46529985</v>
      </c>
      <c r="B998" t="s">
        <v>1065</v>
      </c>
      <c r="C998" t="s">
        <v>38</v>
      </c>
      <c r="D998" s="1">
        <v>45567</v>
      </c>
      <c r="E998">
        <v>12740</v>
      </c>
      <c r="F998" t="s">
        <v>39</v>
      </c>
      <c r="G998" t="s">
        <v>25</v>
      </c>
      <c r="H998" t="s">
        <v>26</v>
      </c>
      <c r="I998" t="s">
        <v>27</v>
      </c>
      <c r="J998" t="s">
        <v>57</v>
      </c>
      <c r="K998">
        <v>0</v>
      </c>
      <c r="L998">
        <v>16</v>
      </c>
      <c r="M998" t="s">
        <v>47</v>
      </c>
      <c r="N998" t="s">
        <v>87</v>
      </c>
    </row>
    <row r="999" spans="1:14" x14ac:dyDescent="0.3">
      <c r="A999">
        <v>10160858</v>
      </c>
      <c r="B999" t="s">
        <v>1066</v>
      </c>
      <c r="C999" t="s">
        <v>45</v>
      </c>
      <c r="D999" s="1">
        <v>45617</v>
      </c>
      <c r="E999">
        <v>20057</v>
      </c>
      <c r="F999" t="s">
        <v>50</v>
      </c>
      <c r="G999" t="s">
        <v>25</v>
      </c>
      <c r="H999" t="s">
        <v>51</v>
      </c>
      <c r="I999" t="s">
        <v>27</v>
      </c>
      <c r="J999" t="s">
        <v>20</v>
      </c>
      <c r="K999">
        <v>0</v>
      </c>
      <c r="L999">
        <v>43</v>
      </c>
      <c r="M999" t="s">
        <v>65</v>
      </c>
      <c r="N999" t="s">
        <v>48</v>
      </c>
    </row>
    <row r="1000" spans="1:14" x14ac:dyDescent="0.3">
      <c r="A1000">
        <v>48484987</v>
      </c>
      <c r="B1000" t="s">
        <v>1067</v>
      </c>
      <c r="C1000" t="s">
        <v>38</v>
      </c>
      <c r="D1000" s="1">
        <v>45534</v>
      </c>
      <c r="E1000">
        <v>19933</v>
      </c>
      <c r="F1000" t="s">
        <v>61</v>
      </c>
      <c r="G1000" t="s">
        <v>55</v>
      </c>
      <c r="H1000" t="s">
        <v>40</v>
      </c>
      <c r="I1000" t="s">
        <v>27</v>
      </c>
      <c r="J1000" t="s">
        <v>52</v>
      </c>
      <c r="K1000">
        <v>1</v>
      </c>
      <c r="L1000">
        <v>16</v>
      </c>
      <c r="M1000" t="s">
        <v>21</v>
      </c>
      <c r="N1000" t="s">
        <v>48</v>
      </c>
    </row>
    <row r="1001" spans="1:14" x14ac:dyDescent="0.3">
      <c r="A1001">
        <v>20156336</v>
      </c>
      <c r="B1001" t="s">
        <v>1068</v>
      </c>
      <c r="C1001" t="s">
        <v>15</v>
      </c>
      <c r="D1001" s="1">
        <v>45419</v>
      </c>
      <c r="E1001">
        <v>17105</v>
      </c>
      <c r="F1001" t="s">
        <v>16</v>
      </c>
      <c r="G1001" t="s">
        <v>25</v>
      </c>
      <c r="H1001" t="s">
        <v>26</v>
      </c>
      <c r="I1001" t="s">
        <v>34</v>
      </c>
      <c r="J1001" t="s">
        <v>35</v>
      </c>
      <c r="K1001">
        <v>0</v>
      </c>
      <c r="L1001">
        <v>82</v>
      </c>
      <c r="M1001" t="s">
        <v>29</v>
      </c>
      <c r="N1001" t="s">
        <v>59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68B3B-26D5-4B0A-B524-6BBD5D6B9212}">
  <dimension ref="A1"/>
  <sheetViews>
    <sheetView showGridLines="0" zoomScale="81" zoomScaleNormal="100" workbookViewId="0">
      <selection activeCell="S11" sqref="S11"/>
    </sheetView>
  </sheetViews>
  <sheetFormatPr defaultRowHeight="14.4" x14ac:dyDescent="0.3"/>
  <sheetData/>
  <pageMargins left="0.7" right="0.7" top="0.75" bottom="0.75" header="0.3" footer="0.3"/>
  <drawing r:id="rId1"/>
  <legacy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763C8-EB36-4C42-9C66-7CD542DA0EB0}">
  <dimension ref="A1"/>
  <sheetViews>
    <sheetView zoomScaleNormal="100" workbookViewId="0">
      <selection activeCell="T9" sqref="T9"/>
    </sheetView>
  </sheetViews>
  <sheetFormatPr defaultRowHeight="14.4" x14ac:dyDescent="0.3"/>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9F4A7-5542-4EFC-B5CD-964B5FE349DF}">
  <dimension ref="A1"/>
  <sheetViews>
    <sheetView workbookViewId="0">
      <selection activeCell="R3" sqref="R3"/>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F504D1-B89C-4722-BDDA-AF5B2A4E273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1.Transaction Category and Type</vt:lpstr>
      <vt:lpstr>2. Fraud Risk in %</vt:lpstr>
      <vt:lpstr>3. State Wise Total Transaction</vt:lpstr>
      <vt:lpstr>4. Fraudlent Transaction Months</vt:lpstr>
      <vt:lpstr>KPIs</vt:lpstr>
      <vt:lpstr>MOM KPIs</vt:lpstr>
      <vt:lpstr>Data</vt:lpstr>
      <vt:lpstr>Dashboard</vt:lpstr>
      <vt:lpstr>Key Insights</vt:lpstr>
      <vt:lpstr>Business Recommendation</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dhammdeep gajbhiye</dc:creator>
  <cp:lastModifiedBy>dhammdeep gajbhiye</cp:lastModifiedBy>
  <dcterms:created xsi:type="dcterms:W3CDTF">2026-02-05T11:46:34Z</dcterms:created>
  <dcterms:modified xsi:type="dcterms:W3CDTF">2026-05-14T16:55:00Z</dcterms:modified>
</cp:coreProperties>
</file>